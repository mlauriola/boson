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rmingham2022.sharepoint.com/sites/spt/scm/Shared Documents/Sports/AQU - Aquatics/Competition Schedule/3. DCAS/"/>
    </mc:Choice>
  </mc:AlternateContent>
  <xr:revisionPtr revIDLastSave="39" documentId="8_{7AC17276-3A00-4FA1-9044-C2C9518766EF}" xr6:coauthVersionLast="47" xr6:coauthVersionMax="47" xr10:uidLastSave="{CA44857D-0481-4259-A5A0-322868943457}"/>
  <workbookProtection workbookAlgorithmName="SHA-512" workbookHashValue="dtBMVCTJzce3BgXNQiuys6iYvXG2ztCffHAm9PDrdO6iwrkgBwuUxVhrJstF6+fkzpVKS8To5SkwOw0jqOIeZg==" workbookSaltValue="h6oInP7OXKkCxFZGlupy4Q==" workbookSpinCount="100000" lockStructure="1"/>
  <bookViews>
    <workbookView minimized="1" xWindow="375" yWindow="525" windowWidth="23970" windowHeight="12720" firstSheet="5" activeTab="14" xr2:uid="{4F651E68-B024-4C18-8B67-205EA3D86537}"/>
  </bookViews>
  <sheets>
    <sheet name="Instructions" sheetId="18" state="hidden" r:id="rId1"/>
    <sheet name="Core Activities to Include" sheetId="6" state="hidden" r:id="rId2"/>
    <sheet name="SEQ CGA Codes" sheetId="19" r:id="rId3"/>
    <sheet name="Overview Timings" sheetId="5" state="hidden" r:id="rId4"/>
    <sheet name="29.07.22" sheetId="1" r:id="rId5"/>
    <sheet name="30.07.22" sheetId="20" r:id="rId6"/>
    <sheet name="31.07.22" sheetId="21" r:id="rId7"/>
    <sheet name="01.08.22" sheetId="22" r:id="rId8"/>
    <sheet name="02.08.22" sheetId="24" r:id="rId9"/>
    <sheet name="03.08.22" sheetId="25" r:id="rId10"/>
    <sheet name="04.08.22" sheetId="12" r:id="rId11"/>
    <sheet name="05.08.22" sheetId="13" r:id="rId12"/>
    <sheet name="06.08.22" sheetId="15" r:id="rId13"/>
    <sheet name="07.08.22" sheetId="16" r:id="rId14"/>
    <sheet name="08.08.22" sheetId="14" r:id="rId15"/>
  </sheets>
  <externalReferences>
    <externalReference r:id="rId16"/>
    <externalReference r:id="rId17"/>
  </externalReferences>
  <definedNames>
    <definedName name="_xlnm._FilterDatabase" localSheetId="7" hidden="1">'01.08.22'!$B$3:$R$3</definedName>
    <definedName name="_xlnm._FilterDatabase" localSheetId="8" hidden="1">'02.08.22'!$B$3:$R$3</definedName>
    <definedName name="_xlnm._FilterDatabase" localSheetId="9" hidden="1">'03.08.22'!$B$3:$R$3</definedName>
    <definedName name="_xlnm._FilterDatabase" localSheetId="4" hidden="1">'29.07.22'!$B$3:$R$124</definedName>
    <definedName name="_xlnm._FilterDatabase" localSheetId="5" hidden="1">'30.07.22'!$B$3:$R$3</definedName>
    <definedName name="_xlnm._FilterDatabase" localSheetId="6" hidden="1">'31.07.22'!$B$3:$R$3</definedName>
    <definedName name="BRD" localSheetId="7">'01.08.22'!$P$4:$P$36</definedName>
    <definedName name="BRD" localSheetId="8">'02.08.22'!$P$4:$P$32</definedName>
    <definedName name="BRD" localSheetId="9">'03.08.22'!$P$4:$P$33</definedName>
    <definedName name="BRD" localSheetId="5">'30.07.22'!$P$4:$P$36</definedName>
    <definedName name="BRD" localSheetId="6">'31.07.22'!$P$4:$P$32</definedName>
    <definedName name="BRD">'29.07.22'!$P$4:$P$35</definedName>
    <definedName name="SCM" localSheetId="7">'01.08.22'!$O$4:$O$36</definedName>
    <definedName name="SCM" localSheetId="8">'02.08.22'!$O$4:$O$32</definedName>
    <definedName name="SCM" localSheetId="9">'03.08.22'!$O$4:$O$33</definedName>
    <definedName name="SCM" localSheetId="5">'30.07.22'!$O$4:$O$36</definedName>
    <definedName name="SCM" localSheetId="6">'31.07.22'!$O$4:$O$32</definedName>
    <definedName name="SCM">'29.07.22'!$O$4:$O$35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E13" i="1" l="1"/>
  <c r="C59" i="1"/>
  <c r="C58" i="1"/>
  <c r="C57" i="1"/>
  <c r="C56" i="1"/>
  <c r="C55" i="1"/>
  <c r="E54" i="1" s="1"/>
  <c r="C54" i="1"/>
  <c r="L54" i="1" s="1"/>
  <c r="C63" i="1"/>
  <c r="C67" i="1"/>
  <c r="C66" i="1"/>
  <c r="C65" i="1"/>
  <c r="C62" i="1"/>
  <c r="B62" i="1" s="1"/>
  <c r="C61" i="1"/>
  <c r="C60" i="1"/>
  <c r="E53" i="1"/>
  <c r="C53" i="1"/>
  <c r="C52" i="1"/>
  <c r="C51" i="1"/>
  <c r="C50" i="1"/>
  <c r="C49" i="1"/>
  <c r="C48" i="1"/>
  <c r="C47" i="1"/>
  <c r="C46" i="1"/>
  <c r="C45" i="1"/>
  <c r="C44" i="1"/>
  <c r="E43" i="1" s="1"/>
  <c r="C43" i="1"/>
  <c r="C42" i="1"/>
  <c r="C41" i="1"/>
  <c r="C40" i="1"/>
  <c r="C39" i="1"/>
  <c r="C38" i="1"/>
  <c r="C37" i="1"/>
  <c r="C36" i="1"/>
  <c r="C35" i="1"/>
  <c r="E34" i="1" s="1"/>
  <c r="C64" i="1"/>
  <c r="B64" i="1" s="1"/>
  <c r="B54" i="1" l="1"/>
  <c r="D53" i="1"/>
  <c r="M54" i="1"/>
  <c r="D54" i="1"/>
  <c r="D43" i="1"/>
  <c r="B58" i="21"/>
  <c r="B40" i="12"/>
  <c r="L56" i="21" l="1"/>
  <c r="L39" i="25" l="1"/>
  <c r="C38" i="25"/>
  <c r="L38" i="25" s="1"/>
  <c r="C37" i="25"/>
  <c r="L37" i="25" s="1"/>
  <c r="C36" i="25"/>
  <c r="L36" i="25" s="1"/>
  <c r="C35" i="25"/>
  <c r="E34" i="25" s="1"/>
  <c r="C34" i="25"/>
  <c r="B34" i="25" s="1"/>
  <c r="C33" i="25"/>
  <c r="E32" i="25" s="1"/>
  <c r="M32" i="25" s="1"/>
  <c r="C32" i="25"/>
  <c r="L32" i="25" s="1"/>
  <c r="C31" i="25"/>
  <c r="E30" i="25" s="1"/>
  <c r="C52" i="24"/>
  <c r="E51" i="24" s="1"/>
  <c r="C51" i="24"/>
  <c r="E50" i="24" s="1"/>
  <c r="C50" i="24"/>
  <c r="E49" i="24" s="1"/>
  <c r="C49" i="24"/>
  <c r="E48" i="24" s="1"/>
  <c r="C48" i="24"/>
  <c r="L48" i="24" s="1"/>
  <c r="C47" i="24"/>
  <c r="E46" i="24" s="1"/>
  <c r="C46" i="24"/>
  <c r="E45" i="24" s="1"/>
  <c r="C45" i="24"/>
  <c r="E44" i="24" s="1"/>
  <c r="C44" i="24"/>
  <c r="E43" i="24" s="1"/>
  <c r="C43" i="24"/>
  <c r="E42" i="24" s="1"/>
  <c r="C42" i="24"/>
  <c r="E41" i="24" s="1"/>
  <c r="C41" i="24"/>
  <c r="E40" i="24" s="1"/>
  <c r="C40" i="24"/>
  <c r="C39" i="24"/>
  <c r="E38" i="24" s="1"/>
  <c r="C38" i="24"/>
  <c r="E37" i="24" s="1"/>
  <c r="C37" i="24"/>
  <c r="E36" i="24" s="1"/>
  <c r="C36" i="24"/>
  <c r="E35" i="24" s="1"/>
  <c r="C35" i="24"/>
  <c r="E34" i="24" s="1"/>
  <c r="C34" i="24"/>
  <c r="E33" i="24" s="1"/>
  <c r="C33" i="24"/>
  <c r="E32" i="24" s="1"/>
  <c r="C32" i="24"/>
  <c r="E31" i="24" s="1"/>
  <c r="C31" i="24"/>
  <c r="E30" i="24" s="1"/>
  <c r="C30" i="24"/>
  <c r="E29" i="24" s="1"/>
  <c r="C58" i="22"/>
  <c r="E57" i="22" s="1"/>
  <c r="M57" i="22" s="1"/>
  <c r="C57" i="22"/>
  <c r="E56" i="22" s="1"/>
  <c r="C56" i="22"/>
  <c r="E55" i="22" s="1"/>
  <c r="C55" i="22"/>
  <c r="E54" i="22" s="1"/>
  <c r="C54" i="22"/>
  <c r="E53" i="22" s="1"/>
  <c r="C53" i="22"/>
  <c r="E52" i="22" s="1"/>
  <c r="C52" i="22"/>
  <c r="E51" i="22" s="1"/>
  <c r="C51" i="22"/>
  <c r="E50" i="22" s="1"/>
  <c r="C50" i="22"/>
  <c r="E49" i="22" s="1"/>
  <c r="C49" i="22"/>
  <c r="C48" i="22"/>
  <c r="E47" i="22" s="1"/>
  <c r="C47" i="22"/>
  <c r="L47" i="22" s="1"/>
  <c r="C46" i="22"/>
  <c r="E45" i="22" s="1"/>
  <c r="C45" i="22"/>
  <c r="E44" i="22" s="1"/>
  <c r="C44" i="22"/>
  <c r="E43" i="22" s="1"/>
  <c r="C43" i="22"/>
  <c r="E42" i="22" s="1"/>
  <c r="C42" i="22"/>
  <c r="E41" i="22" s="1"/>
  <c r="C41" i="22"/>
  <c r="E40" i="22" s="1"/>
  <c r="C40" i="22"/>
  <c r="E39" i="22" s="1"/>
  <c r="C39" i="22"/>
  <c r="E38" i="22" s="1"/>
  <c r="C38" i="22"/>
  <c r="E37" i="22" s="1"/>
  <c r="C37" i="22"/>
  <c r="E36" i="22" s="1"/>
  <c r="C36" i="22"/>
  <c r="E35" i="22" s="1"/>
  <c r="C35" i="22"/>
  <c r="E34" i="22" s="1"/>
  <c r="C34" i="22"/>
  <c r="L34" i="22" s="1"/>
  <c r="C33" i="22"/>
  <c r="E32" i="22" s="1"/>
  <c r="C32" i="22"/>
  <c r="E31" i="22" s="1"/>
  <c r="C31" i="22"/>
  <c r="E30" i="22" s="1"/>
  <c r="C30" i="22"/>
  <c r="E29" i="22" s="1"/>
  <c r="C29" i="22"/>
  <c r="E28" i="22" s="1"/>
  <c r="B40" i="24" l="1"/>
  <c r="E39" i="24"/>
  <c r="D39" i="24" s="1"/>
  <c r="E35" i="25"/>
  <c r="M35" i="25" s="1"/>
  <c r="D49" i="24"/>
  <c r="B48" i="24"/>
  <c r="E37" i="25"/>
  <c r="M37" i="25" s="1"/>
  <c r="D45" i="22"/>
  <c r="E31" i="25"/>
  <c r="M31" i="25" s="1"/>
  <c r="D37" i="22"/>
  <c r="D44" i="22"/>
  <c r="L35" i="25"/>
  <c r="D56" i="22"/>
  <c r="M56" i="22"/>
  <c r="D55" i="22"/>
  <c r="M55" i="22"/>
  <c r="D41" i="22"/>
  <c r="M41" i="22"/>
  <c r="D49" i="22"/>
  <c r="M49" i="22"/>
  <c r="M54" i="22"/>
  <c r="D54" i="22"/>
  <c r="D34" i="25"/>
  <c r="M34" i="25"/>
  <c r="D29" i="22"/>
  <c r="L33" i="25"/>
  <c r="D50" i="22"/>
  <c r="M50" i="22"/>
  <c r="D51" i="22"/>
  <c r="M51" i="22"/>
  <c r="D50" i="24"/>
  <c r="D30" i="22"/>
  <c r="D34" i="22"/>
  <c r="D38" i="22"/>
  <c r="D43" i="22"/>
  <c r="D47" i="22"/>
  <c r="D52" i="22"/>
  <c r="M52" i="22"/>
  <c r="E36" i="25"/>
  <c r="M36" i="25" s="1"/>
  <c r="E33" i="25"/>
  <c r="M33" i="25" s="1"/>
  <c r="L31" i="25"/>
  <c r="D42" i="22"/>
  <c r="B47" i="22"/>
  <c r="D53" i="22"/>
  <c r="M53" i="22"/>
  <c r="E33" i="22"/>
  <c r="D33" i="22" s="1"/>
  <c r="D48" i="24"/>
  <c r="L34" i="25"/>
  <c r="E47" i="24"/>
  <c r="D41" i="24"/>
  <c r="D40" i="24"/>
  <c r="M48" i="24"/>
  <c r="D32" i="24"/>
  <c r="M40" i="24"/>
  <c r="L40" i="24"/>
  <c r="D35" i="22"/>
  <c r="D32" i="22"/>
  <c r="D36" i="22"/>
  <c r="D40" i="22"/>
  <c r="D31" i="22"/>
  <c r="D39" i="22"/>
  <c r="D57" i="22"/>
  <c r="E48" i="22"/>
  <c r="E46" i="22"/>
  <c r="D46" i="22" s="1"/>
  <c r="L41" i="22"/>
  <c r="B41" i="22"/>
  <c r="L48" i="22"/>
  <c r="B48" i="22"/>
  <c r="B34" i="22"/>
  <c r="M47" i="22"/>
  <c r="M34" i="22"/>
  <c r="D48" i="22" l="1"/>
  <c r="M48" i="22"/>
  <c r="C54" i="21"/>
  <c r="E53" i="21" s="1"/>
  <c r="C55" i="21"/>
  <c r="E54" i="21" s="1"/>
  <c r="C53" i="21"/>
  <c r="C52" i="21"/>
  <c r="E51" i="21" s="1"/>
  <c r="C51" i="21"/>
  <c r="E50" i="21" s="1"/>
  <c r="C50" i="21"/>
  <c r="E49" i="21" s="1"/>
  <c r="C49" i="21"/>
  <c r="E48" i="21" s="1"/>
  <c r="C48" i="21"/>
  <c r="E47" i="21" s="1"/>
  <c r="C47" i="21"/>
  <c r="E46" i="21" s="1"/>
  <c r="C46" i="21"/>
  <c r="E45" i="21" s="1"/>
  <c r="C45" i="21"/>
  <c r="E44" i="21" s="1"/>
  <c r="M44" i="21" s="1"/>
  <c r="C44" i="21"/>
  <c r="E43" i="21" s="1"/>
  <c r="C43" i="21"/>
  <c r="E42" i="21" s="1"/>
  <c r="C42" i="21"/>
  <c r="E41" i="21" s="1"/>
  <c r="C41" i="21"/>
  <c r="E40" i="21" s="1"/>
  <c r="C40" i="21"/>
  <c r="E39" i="21" s="1"/>
  <c r="C39" i="21"/>
  <c r="E38" i="21" s="1"/>
  <c r="C38" i="21"/>
  <c r="E37" i="21" s="1"/>
  <c r="C37" i="21"/>
  <c r="B37" i="21" s="1"/>
  <c r="C36" i="21"/>
  <c r="E35" i="21" s="1"/>
  <c r="C35" i="21"/>
  <c r="E34" i="21" s="1"/>
  <c r="C34" i="21"/>
  <c r="E33" i="21" s="1"/>
  <c r="C33" i="21"/>
  <c r="E32" i="21" s="1"/>
  <c r="C32" i="21"/>
  <c r="E31" i="21" s="1"/>
  <c r="C31" i="21"/>
  <c r="E30" i="21" s="1"/>
  <c r="C30" i="21"/>
  <c r="E29" i="21" s="1"/>
  <c r="M29" i="21" s="1"/>
  <c r="C29" i="21"/>
  <c r="C100" i="20"/>
  <c r="E99" i="20" s="1"/>
  <c r="C54" i="20"/>
  <c r="E53" i="20" s="1"/>
  <c r="C53" i="20"/>
  <c r="E52" i="20" s="1"/>
  <c r="C52" i="20"/>
  <c r="E51" i="20" s="1"/>
  <c r="C51" i="20"/>
  <c r="E50" i="20" s="1"/>
  <c r="C50" i="20"/>
  <c r="E49" i="20" s="1"/>
  <c r="C49" i="20"/>
  <c r="E48" i="20" s="1"/>
  <c r="C48" i="20"/>
  <c r="E47" i="20" s="1"/>
  <c r="C47" i="20"/>
  <c r="E46" i="20" s="1"/>
  <c r="C46" i="20"/>
  <c r="E45" i="20" s="1"/>
  <c r="C45" i="20"/>
  <c r="E44" i="20" s="1"/>
  <c r="C44" i="20"/>
  <c r="E43" i="20" s="1"/>
  <c r="C43" i="20"/>
  <c r="E42" i="20" s="1"/>
  <c r="C42" i="20"/>
  <c r="E41" i="20" s="1"/>
  <c r="C41" i="20"/>
  <c r="E40" i="20" s="1"/>
  <c r="C40" i="20"/>
  <c r="L40" i="20" s="1"/>
  <c r="E66" i="1"/>
  <c r="E65" i="1"/>
  <c r="E64" i="1"/>
  <c r="E63" i="1"/>
  <c r="E62" i="1"/>
  <c r="E61" i="1"/>
  <c r="E60" i="1"/>
  <c r="E59" i="1"/>
  <c r="E58" i="1"/>
  <c r="E57" i="1"/>
  <c r="E56" i="1"/>
  <c r="E55" i="1"/>
  <c r="E52" i="1"/>
  <c r="E51" i="1"/>
  <c r="E50" i="1"/>
  <c r="E49" i="1"/>
  <c r="E48" i="1"/>
  <c r="E47" i="1"/>
  <c r="E45" i="1"/>
  <c r="E46" i="1"/>
  <c r="D46" i="1" s="1"/>
  <c r="E42" i="1"/>
  <c r="E41" i="1"/>
  <c r="E40" i="1"/>
  <c r="E39" i="1"/>
  <c r="E37" i="1"/>
  <c r="E35" i="1"/>
  <c r="C34" i="1"/>
  <c r="E33" i="1" s="1"/>
  <c r="C32" i="1"/>
  <c r="E31" i="1" s="1"/>
  <c r="C33" i="1"/>
  <c r="E32" i="1" s="1"/>
  <c r="C31" i="1"/>
  <c r="E30" i="1" s="1"/>
  <c r="C30" i="1"/>
  <c r="E29" i="1" s="1"/>
  <c r="C29" i="1"/>
  <c r="E28" i="1" s="1"/>
  <c r="L45" i="20" l="1"/>
  <c r="B53" i="21"/>
  <c r="E52" i="21"/>
  <c r="L44" i="21"/>
  <c r="L29" i="21"/>
  <c r="E28" i="21"/>
  <c r="D35" i="1"/>
  <c r="D54" i="21"/>
  <c r="D51" i="20"/>
  <c r="D66" i="1"/>
  <c r="D62" i="1"/>
  <c r="D44" i="20"/>
  <c r="D41" i="1"/>
  <c r="D55" i="1"/>
  <c r="D63" i="1"/>
  <c r="D38" i="21"/>
  <c r="D48" i="1"/>
  <c r="D52" i="1"/>
  <c r="D59" i="1"/>
  <c r="D30" i="1"/>
  <c r="D29" i="1"/>
  <c r="D42" i="1"/>
  <c r="D49" i="1"/>
  <c r="D56" i="1"/>
  <c r="D45" i="20"/>
  <c r="D34" i="1"/>
  <c r="D45" i="1"/>
  <c r="D32" i="1"/>
  <c r="B45" i="20"/>
  <c r="D53" i="21"/>
  <c r="M37" i="1"/>
  <c r="E38" i="1"/>
  <c r="D38" i="1" s="1"/>
  <c r="D39" i="1"/>
  <c r="D50" i="1"/>
  <c r="D57" i="1"/>
  <c r="D60" i="1"/>
  <c r="D64" i="1"/>
  <c r="D40" i="20"/>
  <c r="B37" i="1"/>
  <c r="E36" i="1"/>
  <c r="D36" i="1" s="1"/>
  <c r="D31" i="1"/>
  <c r="D40" i="1"/>
  <c r="L44" i="1"/>
  <c r="D47" i="1"/>
  <c r="D51" i="1"/>
  <c r="L59" i="1"/>
  <c r="D61" i="1"/>
  <c r="D65" i="1"/>
  <c r="D33" i="1"/>
  <c r="D37" i="1"/>
  <c r="E44" i="1"/>
  <c r="D44" i="1" s="1"/>
  <c r="D58" i="1"/>
  <c r="E39" i="20"/>
  <c r="D41" i="20"/>
  <c r="D52" i="21"/>
  <c r="L53" i="21"/>
  <c r="L37" i="21"/>
  <c r="M53" i="21"/>
  <c r="M37" i="21"/>
  <c r="D37" i="21"/>
  <c r="B44" i="21"/>
  <c r="E36" i="21"/>
  <c r="D36" i="21" s="1"/>
  <c r="D44" i="21"/>
  <c r="D29" i="21"/>
  <c r="B29" i="21"/>
  <c r="M45" i="20"/>
  <c r="M40" i="20"/>
  <c r="B40" i="20"/>
  <c r="M59" i="1"/>
  <c r="B59" i="1"/>
  <c r="B44" i="1"/>
  <c r="L37" i="1"/>
  <c r="M44" i="1" l="1"/>
  <c r="C28" i="1"/>
  <c r="E27" i="1" l="1"/>
  <c r="D28" i="1"/>
  <c r="L22" i="14"/>
  <c r="L21" i="14"/>
  <c r="L22" i="16"/>
  <c r="L21" i="16"/>
  <c r="L82" i="16"/>
  <c r="L58" i="16"/>
  <c r="L22" i="15"/>
  <c r="L21" i="15"/>
  <c r="L60" i="15"/>
  <c r="L22" i="13"/>
  <c r="L21" i="13"/>
  <c r="L84" i="13"/>
  <c r="L65" i="13"/>
  <c r="L64" i="13"/>
  <c r="L63" i="13"/>
  <c r="L61" i="13"/>
  <c r="L60" i="13"/>
  <c r="L24" i="12"/>
  <c r="L23" i="12"/>
  <c r="L22" i="12"/>
  <c r="L20" i="12"/>
  <c r="L19" i="12"/>
  <c r="L75" i="12"/>
  <c r="L55" i="12"/>
  <c r="L54" i="12"/>
  <c r="L52" i="12"/>
  <c r="L51" i="12"/>
  <c r="L26" i="25"/>
  <c r="L25" i="25"/>
  <c r="L81" i="25"/>
  <c r="L60" i="25"/>
  <c r="L57" i="25"/>
  <c r="L53" i="24"/>
  <c r="L26" i="24"/>
  <c r="L25" i="24"/>
  <c r="L101" i="24"/>
  <c r="L74" i="24"/>
  <c r="L71" i="24"/>
  <c r="L107" i="22"/>
  <c r="L80" i="22"/>
  <c r="L77" i="22"/>
  <c r="L59" i="22"/>
  <c r="L26" i="22"/>
  <c r="L25" i="22"/>
  <c r="L102" i="21"/>
  <c r="L77" i="21"/>
  <c r="L74" i="21"/>
  <c r="L26" i="21"/>
  <c r="L25" i="21"/>
  <c r="L106" i="20"/>
  <c r="L77" i="20"/>
  <c r="L74" i="20"/>
  <c r="L56" i="20"/>
  <c r="L26" i="20"/>
  <c r="L25" i="20"/>
  <c r="L114" i="1"/>
  <c r="L89" i="1"/>
  <c r="L86" i="1"/>
  <c r="L68" i="1"/>
  <c r="L26" i="1"/>
  <c r="L25" i="1"/>
  <c r="B110" i="21"/>
  <c r="B115" i="20"/>
  <c r="B116" i="20"/>
  <c r="B114" i="20"/>
  <c r="B111" i="21"/>
  <c r="B112" i="21"/>
  <c r="C98" i="24" l="1"/>
  <c r="E97" i="24" s="1"/>
  <c r="B115" i="22"/>
  <c r="B116" i="22"/>
  <c r="B117" i="22"/>
  <c r="B109" i="24"/>
  <c r="B110" i="24"/>
  <c r="B111" i="24"/>
  <c r="B89" i="25"/>
  <c r="B83" i="1"/>
  <c r="B122" i="1"/>
  <c r="B123" i="1"/>
  <c r="B124" i="1"/>
  <c r="B47" i="13"/>
  <c r="B51" i="13"/>
  <c r="C44" i="25"/>
  <c r="C43" i="25"/>
  <c r="C58" i="24"/>
  <c r="C57" i="24"/>
  <c r="C65" i="22"/>
  <c r="E10" i="22" s="1"/>
  <c r="D10" i="22" s="1"/>
  <c r="C64" i="22"/>
  <c r="C63" i="22"/>
  <c r="C60" i="21"/>
  <c r="C59" i="21"/>
  <c r="C61" i="20"/>
  <c r="C60" i="20"/>
  <c r="C4" i="25"/>
  <c r="C5" i="25"/>
  <c r="D5" i="25" s="1"/>
  <c r="D6" i="25"/>
  <c r="D8" i="25"/>
  <c r="C9" i="25"/>
  <c r="D11" i="25"/>
  <c r="C12" i="25"/>
  <c r="C13" i="25"/>
  <c r="E13" i="25"/>
  <c r="C14" i="25"/>
  <c r="C15" i="25"/>
  <c r="C16" i="25"/>
  <c r="E16" i="25"/>
  <c r="C17" i="25"/>
  <c r="C18" i="25"/>
  <c r="D18" i="25" s="1"/>
  <c r="C20" i="25"/>
  <c r="C21" i="25"/>
  <c r="C22" i="25"/>
  <c r="E22" i="25"/>
  <c r="C23" i="25"/>
  <c r="E23" i="25"/>
  <c r="C24" i="25"/>
  <c r="E24" i="25"/>
  <c r="C4" i="24"/>
  <c r="C5" i="24"/>
  <c r="D5" i="24" s="1"/>
  <c r="D6" i="24"/>
  <c r="D8" i="24"/>
  <c r="C9" i="24"/>
  <c r="D11" i="24"/>
  <c r="C12" i="24"/>
  <c r="C13" i="24"/>
  <c r="E13" i="24"/>
  <c r="C14" i="24"/>
  <c r="C15" i="24"/>
  <c r="C16" i="24"/>
  <c r="E16" i="24"/>
  <c r="C17" i="24"/>
  <c r="C18" i="24"/>
  <c r="D18" i="24" s="1"/>
  <c r="C20" i="24"/>
  <c r="C21" i="24"/>
  <c r="C22" i="24"/>
  <c r="E22" i="24"/>
  <c r="C23" i="24"/>
  <c r="E23" i="24"/>
  <c r="C24" i="24"/>
  <c r="D24" i="24" s="1"/>
  <c r="E24" i="24"/>
  <c r="C4" i="22"/>
  <c r="C5" i="22"/>
  <c r="D5" i="22" s="1"/>
  <c r="D6" i="22"/>
  <c r="D8" i="22"/>
  <c r="C9" i="22"/>
  <c r="D11" i="22"/>
  <c r="C12" i="22"/>
  <c r="C13" i="22"/>
  <c r="E13" i="22"/>
  <c r="C14" i="22"/>
  <c r="C15" i="22"/>
  <c r="C16" i="22"/>
  <c r="E16" i="22"/>
  <c r="C17" i="22"/>
  <c r="C18" i="22"/>
  <c r="D18" i="22" s="1"/>
  <c r="C20" i="22"/>
  <c r="C21" i="22"/>
  <c r="C22" i="22"/>
  <c r="E22" i="22"/>
  <c r="D22" i="22" s="1"/>
  <c r="C23" i="22"/>
  <c r="E23" i="22"/>
  <c r="C24" i="22"/>
  <c r="E24" i="22"/>
  <c r="D24" i="22" s="1"/>
  <c r="C4" i="21"/>
  <c r="C5" i="21"/>
  <c r="D5" i="21" s="1"/>
  <c r="D6" i="21"/>
  <c r="D8" i="21"/>
  <c r="C9" i="21"/>
  <c r="D11" i="21"/>
  <c r="C12" i="21"/>
  <c r="C13" i="21"/>
  <c r="E13" i="21"/>
  <c r="C14" i="21"/>
  <c r="C15" i="21"/>
  <c r="C16" i="21"/>
  <c r="E16" i="21"/>
  <c r="C17" i="21"/>
  <c r="C18" i="21"/>
  <c r="D18" i="21" s="1"/>
  <c r="C20" i="21"/>
  <c r="C21" i="21"/>
  <c r="C22" i="21"/>
  <c r="E22" i="21"/>
  <c r="C23" i="21"/>
  <c r="E23" i="21"/>
  <c r="C24" i="21"/>
  <c r="E24" i="21"/>
  <c r="C20" i="20"/>
  <c r="C21" i="20"/>
  <c r="C22" i="20"/>
  <c r="E22" i="20"/>
  <c r="C23" i="20"/>
  <c r="E23" i="20"/>
  <c r="C24" i="20"/>
  <c r="E24" i="20"/>
  <c r="D8" i="20"/>
  <c r="C9" i="20"/>
  <c r="D11" i="20"/>
  <c r="C12" i="20"/>
  <c r="C13" i="20"/>
  <c r="E13" i="20"/>
  <c r="C14" i="20"/>
  <c r="C15" i="20"/>
  <c r="C16" i="20"/>
  <c r="E16" i="20"/>
  <c r="C17" i="20"/>
  <c r="C18" i="20"/>
  <c r="D18" i="20" s="1"/>
  <c r="C4" i="20"/>
  <c r="C5" i="20"/>
  <c r="D5" i="20" s="1"/>
  <c r="D6" i="20"/>
  <c r="E24" i="1"/>
  <c r="C24" i="1"/>
  <c r="C84" i="1"/>
  <c r="B84" i="1" s="1"/>
  <c r="C80" i="1"/>
  <c r="B80" i="1" s="1"/>
  <c r="C78" i="1"/>
  <c r="B78" i="1" s="1"/>
  <c r="E16" i="1"/>
  <c r="C16" i="1"/>
  <c r="C15" i="1"/>
  <c r="C12" i="1"/>
  <c r="C9" i="1"/>
  <c r="K61" i="25"/>
  <c r="E79" i="25"/>
  <c r="M79" i="25" s="1"/>
  <c r="C80" i="25"/>
  <c r="L80" i="25" s="1"/>
  <c r="E78" i="25"/>
  <c r="M78" i="25" s="1"/>
  <c r="C79" i="25"/>
  <c r="L79" i="25" s="1"/>
  <c r="E77" i="25"/>
  <c r="M77" i="25" s="1"/>
  <c r="C78" i="25"/>
  <c r="L78" i="25" s="1"/>
  <c r="E76" i="25"/>
  <c r="M76" i="25" s="1"/>
  <c r="C77" i="25"/>
  <c r="L77" i="25" s="1"/>
  <c r="E75" i="25"/>
  <c r="M75" i="25" s="1"/>
  <c r="C76" i="25"/>
  <c r="L76" i="25" s="1"/>
  <c r="E74" i="25"/>
  <c r="M74" i="25" s="1"/>
  <c r="C75" i="25"/>
  <c r="L75" i="25" s="1"/>
  <c r="E73" i="25"/>
  <c r="M73" i="25" s="1"/>
  <c r="C74" i="25"/>
  <c r="L74" i="25" s="1"/>
  <c r="E72" i="25"/>
  <c r="M72" i="25" s="1"/>
  <c r="C73" i="25"/>
  <c r="L73" i="25" s="1"/>
  <c r="E71" i="25"/>
  <c r="M71" i="25" s="1"/>
  <c r="C72" i="25"/>
  <c r="L72" i="25" s="1"/>
  <c r="E70" i="25"/>
  <c r="M70" i="25" s="1"/>
  <c r="C71" i="25"/>
  <c r="L71" i="25" s="1"/>
  <c r="E69" i="25"/>
  <c r="M69" i="25" s="1"/>
  <c r="C70" i="25"/>
  <c r="L70" i="25" s="1"/>
  <c r="E68" i="25"/>
  <c r="M68" i="25" s="1"/>
  <c r="C69" i="25"/>
  <c r="L69" i="25" s="1"/>
  <c r="E67" i="25"/>
  <c r="M67" i="25" s="1"/>
  <c r="C68" i="25"/>
  <c r="L68" i="25" s="1"/>
  <c r="E66" i="25"/>
  <c r="M66" i="25" s="1"/>
  <c r="C67" i="25"/>
  <c r="L67" i="25" s="1"/>
  <c r="E65" i="25"/>
  <c r="M65" i="25" s="1"/>
  <c r="C66" i="25"/>
  <c r="L66" i="25" s="1"/>
  <c r="E64" i="25"/>
  <c r="M64" i="25" s="1"/>
  <c r="C65" i="25"/>
  <c r="E63" i="25"/>
  <c r="M63" i="25" s="1"/>
  <c r="C64" i="25"/>
  <c r="L64" i="25" s="1"/>
  <c r="E62" i="25"/>
  <c r="M62" i="25" s="1"/>
  <c r="C63" i="25"/>
  <c r="L63" i="25" s="1"/>
  <c r="E61" i="25"/>
  <c r="M61" i="25" s="1"/>
  <c r="C62" i="25"/>
  <c r="L62" i="25" s="1"/>
  <c r="C61" i="25"/>
  <c r="L61" i="25" s="1"/>
  <c r="C30" i="25"/>
  <c r="C29" i="25"/>
  <c r="C28" i="25"/>
  <c r="C27" i="25"/>
  <c r="L27" i="25" s="1"/>
  <c r="C97" i="24"/>
  <c r="E96" i="24" s="1"/>
  <c r="M96" i="24" s="1"/>
  <c r="C95" i="24"/>
  <c r="C96" i="24"/>
  <c r="C94" i="24"/>
  <c r="C93" i="24"/>
  <c r="C92" i="24"/>
  <c r="C91" i="24"/>
  <c r="C90" i="24"/>
  <c r="C89" i="24"/>
  <c r="C88" i="24"/>
  <c r="C87" i="24"/>
  <c r="C86" i="24"/>
  <c r="C85" i="24"/>
  <c r="C84" i="24"/>
  <c r="C83" i="24"/>
  <c r="C82" i="24"/>
  <c r="C81" i="24"/>
  <c r="C80" i="24"/>
  <c r="C79" i="24"/>
  <c r="C78" i="24"/>
  <c r="C77" i="24"/>
  <c r="C76" i="24"/>
  <c r="C75" i="24"/>
  <c r="L75" i="24" s="1"/>
  <c r="M51" i="24"/>
  <c r="M50" i="24"/>
  <c r="M49" i="24"/>
  <c r="L50" i="24"/>
  <c r="M47" i="24"/>
  <c r="L49" i="24"/>
  <c r="M46" i="24"/>
  <c r="L47" i="24"/>
  <c r="M45" i="24"/>
  <c r="L46" i="24"/>
  <c r="L45" i="24"/>
  <c r="M44" i="24"/>
  <c r="M43" i="24"/>
  <c r="L44" i="24"/>
  <c r="M42" i="24"/>
  <c r="L43" i="24"/>
  <c r="M41" i="24"/>
  <c r="L42" i="24"/>
  <c r="L41" i="24"/>
  <c r="M39" i="24"/>
  <c r="M38" i="24"/>
  <c r="L39" i="24"/>
  <c r="M37" i="24"/>
  <c r="L38" i="24"/>
  <c r="M36" i="24"/>
  <c r="L37" i="24"/>
  <c r="M35" i="24"/>
  <c r="L36" i="24"/>
  <c r="M34" i="24"/>
  <c r="L35" i="24"/>
  <c r="M33" i="24"/>
  <c r="L34" i="24"/>
  <c r="M32" i="24"/>
  <c r="L33" i="24"/>
  <c r="L32" i="24"/>
  <c r="M31" i="24"/>
  <c r="M30" i="24"/>
  <c r="L31" i="24"/>
  <c r="L30" i="24"/>
  <c r="M29" i="24"/>
  <c r="C29" i="24"/>
  <c r="C28" i="24"/>
  <c r="C27" i="24"/>
  <c r="L27" i="24" s="1"/>
  <c r="D49" i="15"/>
  <c r="D66" i="12"/>
  <c r="D34" i="12"/>
  <c r="D23" i="12"/>
  <c r="E54" i="13"/>
  <c r="D54" i="13" s="1"/>
  <c r="B52" i="13"/>
  <c r="B86" i="13"/>
  <c r="B87" i="13"/>
  <c r="B89" i="13"/>
  <c r="B85" i="13"/>
  <c r="B88" i="13"/>
  <c r="B90" i="13"/>
  <c r="B91" i="13"/>
  <c r="B92" i="13"/>
  <c r="B76" i="12"/>
  <c r="B77" i="12"/>
  <c r="B80" i="12"/>
  <c r="B81" i="12"/>
  <c r="B78" i="12"/>
  <c r="B79" i="12"/>
  <c r="B82" i="12"/>
  <c r="B83" i="12"/>
  <c r="L80" i="24" l="1"/>
  <c r="E79" i="24"/>
  <c r="M79" i="24" s="1"/>
  <c r="L82" i="24"/>
  <c r="E81" i="24"/>
  <c r="M81" i="24" s="1"/>
  <c r="L88" i="24"/>
  <c r="E87" i="24"/>
  <c r="M87" i="24" s="1"/>
  <c r="L95" i="24"/>
  <c r="E94" i="24"/>
  <c r="L28" i="25"/>
  <c r="E27" i="25"/>
  <c r="M27" i="25" s="1"/>
  <c r="M30" i="25"/>
  <c r="L78" i="24"/>
  <c r="E77" i="24"/>
  <c r="M77" i="24" s="1"/>
  <c r="L84" i="24"/>
  <c r="E83" i="24"/>
  <c r="M83" i="24" s="1"/>
  <c r="L90" i="24"/>
  <c r="E89" i="24"/>
  <c r="M89" i="24" s="1"/>
  <c r="L94" i="24"/>
  <c r="E93" i="24"/>
  <c r="L77" i="24"/>
  <c r="E76" i="24"/>
  <c r="M76" i="24" s="1"/>
  <c r="L79" i="24"/>
  <c r="E78" i="24"/>
  <c r="M78" i="24" s="1"/>
  <c r="L81" i="24"/>
  <c r="E80" i="24"/>
  <c r="M80" i="24" s="1"/>
  <c r="L83" i="24"/>
  <c r="E82" i="24"/>
  <c r="M82" i="24" s="1"/>
  <c r="L85" i="24"/>
  <c r="E84" i="24"/>
  <c r="M84" i="24" s="1"/>
  <c r="L87" i="24"/>
  <c r="E86" i="24"/>
  <c r="M86" i="24" s="1"/>
  <c r="L89" i="24"/>
  <c r="E88" i="24"/>
  <c r="M88" i="24" s="1"/>
  <c r="L91" i="24"/>
  <c r="E90" i="24"/>
  <c r="M90" i="24" s="1"/>
  <c r="L93" i="24"/>
  <c r="E92" i="24"/>
  <c r="M92" i="24" s="1"/>
  <c r="L96" i="24"/>
  <c r="E95" i="24"/>
  <c r="D96" i="24"/>
  <c r="L76" i="24"/>
  <c r="E75" i="24"/>
  <c r="M75" i="24" s="1"/>
  <c r="L86" i="24"/>
  <c r="E85" i="24"/>
  <c r="M85" i="24" s="1"/>
  <c r="L92" i="24"/>
  <c r="E91" i="24"/>
  <c r="M91" i="24" s="1"/>
  <c r="E29" i="25"/>
  <c r="M29" i="25" s="1"/>
  <c r="L30" i="25"/>
  <c r="E28" i="25"/>
  <c r="M28" i="25" s="1"/>
  <c r="L29" i="25"/>
  <c r="D97" i="24"/>
  <c r="D22" i="25"/>
  <c r="D13" i="25"/>
  <c r="D24" i="25"/>
  <c r="L28" i="24"/>
  <c r="E27" i="24"/>
  <c r="M27" i="24" s="1"/>
  <c r="L29" i="24"/>
  <c r="E28" i="24"/>
  <c r="M28" i="24" s="1"/>
  <c r="L51" i="24"/>
  <c r="D22" i="24"/>
  <c r="D23" i="24"/>
  <c r="D13" i="24"/>
  <c r="D23" i="22"/>
  <c r="D13" i="22"/>
  <c r="D24" i="21"/>
  <c r="D13" i="21"/>
  <c r="D23" i="21"/>
  <c r="D22" i="21"/>
  <c r="D24" i="20"/>
  <c r="D22" i="20"/>
  <c r="D13" i="20"/>
  <c r="D23" i="20"/>
  <c r="M97" i="24"/>
  <c r="E21" i="24"/>
  <c r="D21" i="24" s="1"/>
  <c r="L52" i="24"/>
  <c r="B97" i="24"/>
  <c r="L97" i="24"/>
  <c r="B98" i="24"/>
  <c r="L98" i="24"/>
  <c r="E21" i="25"/>
  <c r="D21" i="25" s="1"/>
  <c r="E10" i="25"/>
  <c r="D10" i="25" s="1"/>
  <c r="L65" i="25"/>
  <c r="D24" i="1"/>
  <c r="D23" i="25"/>
  <c r="B80" i="25"/>
  <c r="B19" i="12"/>
  <c r="B4" i="12"/>
  <c r="B5" i="12"/>
  <c r="B7" i="12"/>
  <c r="B6" i="12"/>
  <c r="B9" i="12"/>
  <c r="B10" i="12"/>
  <c r="B11" i="12"/>
  <c r="B12" i="12"/>
  <c r="B8" i="12"/>
  <c r="B13" i="12"/>
  <c r="B14" i="12"/>
  <c r="B15" i="12"/>
  <c r="B16" i="12"/>
  <c r="B17" i="12"/>
  <c r="B18" i="12"/>
  <c r="K89" i="22"/>
  <c r="C106" i="22"/>
  <c r="C105" i="22"/>
  <c r="C104" i="22"/>
  <c r="E103" i="22" s="1"/>
  <c r="C103" i="22"/>
  <c r="E102" i="22" s="1"/>
  <c r="C102" i="22"/>
  <c r="E101" i="22" s="1"/>
  <c r="C101" i="22"/>
  <c r="E100" i="22" s="1"/>
  <c r="C100" i="22"/>
  <c r="C99" i="22"/>
  <c r="C98" i="22"/>
  <c r="C97" i="22"/>
  <c r="C96" i="22"/>
  <c r="C95" i="22"/>
  <c r="C94" i="22"/>
  <c r="C93" i="22"/>
  <c r="C92" i="22"/>
  <c r="C91" i="22"/>
  <c r="C90" i="22"/>
  <c r="C89" i="22"/>
  <c r="C88" i="22"/>
  <c r="C87" i="22"/>
  <c r="C86" i="22"/>
  <c r="C85" i="22"/>
  <c r="C84" i="22"/>
  <c r="C83" i="22"/>
  <c r="C82" i="22"/>
  <c r="C81" i="22"/>
  <c r="L81" i="22" s="1"/>
  <c r="L57" i="22"/>
  <c r="L56" i="22"/>
  <c r="L55" i="22"/>
  <c r="L54" i="22"/>
  <c r="L53" i="22"/>
  <c r="L52" i="22"/>
  <c r="L51" i="22"/>
  <c r="L50" i="22"/>
  <c r="M46" i="22"/>
  <c r="L49" i="22"/>
  <c r="M45" i="22"/>
  <c r="L46" i="22"/>
  <c r="M44" i="22"/>
  <c r="L45" i="22"/>
  <c r="M43" i="22"/>
  <c r="L44" i="22"/>
  <c r="M42" i="22"/>
  <c r="L43" i="22"/>
  <c r="L42" i="22"/>
  <c r="M40" i="22"/>
  <c r="M39" i="22"/>
  <c r="L40" i="22"/>
  <c r="M38" i="22"/>
  <c r="L39" i="22"/>
  <c r="M37" i="22"/>
  <c r="L38" i="22"/>
  <c r="M36" i="22"/>
  <c r="L37" i="22"/>
  <c r="M35" i="22"/>
  <c r="L36" i="22"/>
  <c r="M33" i="22"/>
  <c r="L35" i="22"/>
  <c r="M32" i="22"/>
  <c r="L33" i="22"/>
  <c r="M31" i="22"/>
  <c r="L32" i="22"/>
  <c r="M30" i="22"/>
  <c r="L31" i="22"/>
  <c r="M29" i="22"/>
  <c r="L30" i="22"/>
  <c r="L29" i="22"/>
  <c r="M28" i="22"/>
  <c r="C28" i="22"/>
  <c r="D28" i="22" s="1"/>
  <c r="C27" i="22"/>
  <c r="L27" i="22" s="1"/>
  <c r="K82" i="21"/>
  <c r="K81" i="21"/>
  <c r="K80" i="21"/>
  <c r="C101" i="21"/>
  <c r="C100" i="21"/>
  <c r="C99" i="21"/>
  <c r="C98" i="21"/>
  <c r="C97" i="21"/>
  <c r="C96" i="21"/>
  <c r="C95" i="21"/>
  <c r="C94" i="21"/>
  <c r="C93" i="21"/>
  <c r="C92" i="21"/>
  <c r="C91" i="21"/>
  <c r="C87" i="21"/>
  <c r="C89" i="21"/>
  <c r="C88" i="21"/>
  <c r="C90" i="21"/>
  <c r="C86" i="21"/>
  <c r="C85" i="21"/>
  <c r="C84" i="21"/>
  <c r="C83" i="21"/>
  <c r="C82" i="21"/>
  <c r="C81" i="21"/>
  <c r="C80" i="21"/>
  <c r="C79" i="21"/>
  <c r="C78" i="21"/>
  <c r="L78" i="21" s="1"/>
  <c r="L54" i="21"/>
  <c r="M52" i="21"/>
  <c r="M51" i="21"/>
  <c r="L52" i="21"/>
  <c r="M50" i="21"/>
  <c r="L51" i="21"/>
  <c r="M48" i="21"/>
  <c r="M49" i="21"/>
  <c r="L50" i="21"/>
  <c r="L49" i="21"/>
  <c r="M47" i="21"/>
  <c r="L48" i="21"/>
  <c r="M46" i="21"/>
  <c r="L47" i="21"/>
  <c r="M45" i="21"/>
  <c r="L46" i="21"/>
  <c r="M43" i="21"/>
  <c r="L45" i="21"/>
  <c r="M42" i="21"/>
  <c r="L43" i="21"/>
  <c r="M41" i="21"/>
  <c r="L42" i="21"/>
  <c r="M40" i="21"/>
  <c r="L41" i="21"/>
  <c r="M39" i="21"/>
  <c r="L40" i="21"/>
  <c r="M38" i="21"/>
  <c r="L39" i="21"/>
  <c r="M36" i="21"/>
  <c r="L38" i="21"/>
  <c r="M35" i="21"/>
  <c r="L36" i="21"/>
  <c r="M34" i="21"/>
  <c r="L35" i="21"/>
  <c r="M33" i="21"/>
  <c r="L34" i="21"/>
  <c r="M32" i="21"/>
  <c r="L33" i="21"/>
  <c r="L32" i="21"/>
  <c r="M31" i="21"/>
  <c r="L31" i="21"/>
  <c r="M30" i="21"/>
  <c r="L30" i="21"/>
  <c r="C28" i="21"/>
  <c r="C27" i="21"/>
  <c r="L27" i="21" s="1"/>
  <c r="C105" i="20"/>
  <c r="E104" i="20" s="1"/>
  <c r="M104" i="20" s="1"/>
  <c r="C104" i="20"/>
  <c r="E103" i="20" s="1"/>
  <c r="M103" i="20" s="1"/>
  <c r="C103" i="20"/>
  <c r="E102" i="20" s="1"/>
  <c r="M102" i="20" s="1"/>
  <c r="C102" i="20"/>
  <c r="E101" i="20" s="1"/>
  <c r="M101" i="20" s="1"/>
  <c r="L100" i="20"/>
  <c r="M99" i="20"/>
  <c r="C101" i="20"/>
  <c r="E100" i="20" s="1"/>
  <c r="M100" i="20" s="1"/>
  <c r="C99" i="20"/>
  <c r="E98" i="20" s="1"/>
  <c r="M98" i="20" s="1"/>
  <c r="C98" i="20"/>
  <c r="C97" i="20"/>
  <c r="C96" i="20"/>
  <c r="C95" i="20"/>
  <c r="C94" i="20"/>
  <c r="C93" i="20"/>
  <c r="C92" i="20"/>
  <c r="C91" i="20"/>
  <c r="C90" i="20"/>
  <c r="C89" i="20"/>
  <c r="C88" i="20"/>
  <c r="C87" i="20"/>
  <c r="C86" i="20"/>
  <c r="C85" i="20"/>
  <c r="C84" i="20"/>
  <c r="C83" i="20"/>
  <c r="C82" i="20"/>
  <c r="C81" i="20"/>
  <c r="C80" i="20"/>
  <c r="C79" i="20"/>
  <c r="C78" i="20"/>
  <c r="L78" i="20" s="1"/>
  <c r="E54" i="20"/>
  <c r="M54" i="20" s="1"/>
  <c r="C55" i="20"/>
  <c r="M53" i="20"/>
  <c r="L54" i="20"/>
  <c r="M52" i="20"/>
  <c r="L53" i="20"/>
  <c r="L52" i="20"/>
  <c r="M51" i="20"/>
  <c r="M50" i="20"/>
  <c r="L51" i="20"/>
  <c r="L50" i="20"/>
  <c r="M49" i="20"/>
  <c r="M48" i="20"/>
  <c r="L49" i="20"/>
  <c r="M47" i="20"/>
  <c r="L48" i="20"/>
  <c r="M46" i="20"/>
  <c r="L47" i="20"/>
  <c r="M44" i="20"/>
  <c r="L46" i="20"/>
  <c r="M43" i="20"/>
  <c r="L44" i="20"/>
  <c r="M42" i="20"/>
  <c r="L43" i="20"/>
  <c r="M41" i="20"/>
  <c r="L42" i="20"/>
  <c r="L41" i="20"/>
  <c r="M39" i="20"/>
  <c r="C39" i="20"/>
  <c r="C38" i="20"/>
  <c r="C37" i="20"/>
  <c r="C36" i="20"/>
  <c r="C35" i="20"/>
  <c r="C34" i="20"/>
  <c r="C33" i="20"/>
  <c r="C32" i="20"/>
  <c r="E31" i="20" s="1"/>
  <c r="C31" i="20"/>
  <c r="C30" i="20"/>
  <c r="C29" i="20"/>
  <c r="C28" i="20"/>
  <c r="C27" i="20"/>
  <c r="L27" i="20" s="1"/>
  <c r="C113" i="1"/>
  <c r="C69" i="1"/>
  <c r="C72" i="1" s="1"/>
  <c r="B72" i="1" s="1"/>
  <c r="C14" i="1"/>
  <c r="D14" i="14"/>
  <c r="D12" i="14"/>
  <c r="D11" i="14"/>
  <c r="D10" i="14"/>
  <c r="D14" i="16"/>
  <c r="D13" i="16"/>
  <c r="D11" i="16"/>
  <c r="D10" i="16"/>
  <c r="D14" i="15"/>
  <c r="D12" i="15"/>
  <c r="D11" i="15"/>
  <c r="D9" i="15"/>
  <c r="D95" i="24" l="1"/>
  <c r="M95" i="24"/>
  <c r="D93" i="24"/>
  <c r="M93" i="24"/>
  <c r="D94" i="24"/>
  <c r="M94" i="24"/>
  <c r="D102" i="22"/>
  <c r="D100" i="22"/>
  <c r="L80" i="20"/>
  <c r="E79" i="20"/>
  <c r="M79" i="20" s="1"/>
  <c r="L82" i="20"/>
  <c r="E81" i="20"/>
  <c r="M81" i="20" s="1"/>
  <c r="L84" i="20"/>
  <c r="E83" i="20"/>
  <c r="M83" i="20" s="1"/>
  <c r="L86" i="20"/>
  <c r="E85" i="20"/>
  <c r="M85" i="20" s="1"/>
  <c r="L88" i="20"/>
  <c r="E87" i="20"/>
  <c r="M87" i="20" s="1"/>
  <c r="L90" i="20"/>
  <c r="E89" i="20"/>
  <c r="M89" i="20" s="1"/>
  <c r="L92" i="20"/>
  <c r="E91" i="20"/>
  <c r="M91" i="20" s="1"/>
  <c r="L94" i="20"/>
  <c r="E93" i="20"/>
  <c r="M93" i="20" s="1"/>
  <c r="L96" i="20"/>
  <c r="E95" i="20"/>
  <c r="M95" i="20" s="1"/>
  <c r="L98" i="20"/>
  <c r="E97" i="20"/>
  <c r="M97" i="20" s="1"/>
  <c r="L79" i="21"/>
  <c r="E78" i="21"/>
  <c r="M78" i="21" s="1"/>
  <c r="L81" i="21"/>
  <c r="E80" i="21"/>
  <c r="M80" i="21" s="1"/>
  <c r="L83" i="21"/>
  <c r="E82" i="21"/>
  <c r="M82" i="21" s="1"/>
  <c r="L85" i="21"/>
  <c r="E84" i="21"/>
  <c r="M84" i="21" s="1"/>
  <c r="L90" i="21"/>
  <c r="E89" i="21"/>
  <c r="L89" i="21"/>
  <c r="E88" i="21"/>
  <c r="L91" i="21"/>
  <c r="E90" i="21"/>
  <c r="L93" i="21"/>
  <c r="E92" i="21"/>
  <c r="M92" i="21" s="1"/>
  <c r="L95" i="21"/>
  <c r="E94" i="21"/>
  <c r="M94" i="21" s="1"/>
  <c r="L97" i="21"/>
  <c r="E96" i="21"/>
  <c r="M96" i="21" s="1"/>
  <c r="L99" i="21"/>
  <c r="E98" i="21"/>
  <c r="M98" i="21" s="1"/>
  <c r="M100" i="22"/>
  <c r="M102" i="22"/>
  <c r="L106" i="22"/>
  <c r="E105" i="22"/>
  <c r="L82" i="22"/>
  <c r="E81" i="22"/>
  <c r="M81" i="22" s="1"/>
  <c r="L84" i="22"/>
  <c r="E83" i="22"/>
  <c r="L86" i="22"/>
  <c r="E85" i="22"/>
  <c r="L88" i="22"/>
  <c r="E87" i="22"/>
  <c r="L90" i="22"/>
  <c r="E89" i="22"/>
  <c r="L92" i="22"/>
  <c r="E91" i="22"/>
  <c r="L94" i="22"/>
  <c r="E93" i="22"/>
  <c r="L96" i="22"/>
  <c r="E95" i="22"/>
  <c r="L98" i="22"/>
  <c r="E97" i="22"/>
  <c r="L100" i="22"/>
  <c r="E99" i="22"/>
  <c r="D101" i="22"/>
  <c r="D103" i="22"/>
  <c r="L101" i="21"/>
  <c r="E100" i="21"/>
  <c r="M100" i="21" s="1"/>
  <c r="L83" i="22"/>
  <c r="E82" i="22"/>
  <c r="L85" i="22"/>
  <c r="E84" i="22"/>
  <c r="L87" i="22"/>
  <c r="E86" i="22"/>
  <c r="L89" i="22"/>
  <c r="E88" i="22"/>
  <c r="L91" i="22"/>
  <c r="E90" i="22"/>
  <c r="L93" i="22"/>
  <c r="E92" i="22"/>
  <c r="L95" i="22"/>
  <c r="E94" i="22"/>
  <c r="L97" i="22"/>
  <c r="E96" i="22"/>
  <c r="L99" i="22"/>
  <c r="E98" i="22"/>
  <c r="L113" i="1"/>
  <c r="E112" i="1"/>
  <c r="L79" i="20"/>
  <c r="E78" i="20"/>
  <c r="M78" i="20" s="1"/>
  <c r="L81" i="20"/>
  <c r="E80" i="20"/>
  <c r="M80" i="20" s="1"/>
  <c r="L83" i="20"/>
  <c r="E82" i="20"/>
  <c r="M82" i="20" s="1"/>
  <c r="L85" i="20"/>
  <c r="E84" i="20"/>
  <c r="M84" i="20" s="1"/>
  <c r="L87" i="20"/>
  <c r="E86" i="20"/>
  <c r="M86" i="20" s="1"/>
  <c r="L89" i="20"/>
  <c r="E88" i="20"/>
  <c r="M88" i="20" s="1"/>
  <c r="L91" i="20"/>
  <c r="E90" i="20"/>
  <c r="M90" i="20" s="1"/>
  <c r="L93" i="20"/>
  <c r="E92" i="20"/>
  <c r="M92" i="20" s="1"/>
  <c r="L95" i="20"/>
  <c r="E94" i="20"/>
  <c r="M94" i="20" s="1"/>
  <c r="L97" i="20"/>
  <c r="E96" i="20"/>
  <c r="M96" i="20" s="1"/>
  <c r="L80" i="21"/>
  <c r="E79" i="21"/>
  <c r="M79" i="21" s="1"/>
  <c r="L82" i="21"/>
  <c r="E81" i="21"/>
  <c r="M81" i="21" s="1"/>
  <c r="L84" i="21"/>
  <c r="E83" i="21"/>
  <c r="M83" i="21" s="1"/>
  <c r="L86" i="21"/>
  <c r="E85" i="21"/>
  <c r="M85" i="21" s="1"/>
  <c r="L88" i="21"/>
  <c r="E87" i="21"/>
  <c r="L87" i="21"/>
  <c r="E86" i="21"/>
  <c r="L92" i="21"/>
  <c r="E91" i="21"/>
  <c r="M91" i="21" s="1"/>
  <c r="L94" i="21"/>
  <c r="E93" i="21"/>
  <c r="M93" i="21" s="1"/>
  <c r="L96" i="21"/>
  <c r="E95" i="21"/>
  <c r="M95" i="21" s="1"/>
  <c r="L98" i="21"/>
  <c r="E97" i="21"/>
  <c r="M97" i="21" s="1"/>
  <c r="L100" i="21"/>
  <c r="E99" i="21"/>
  <c r="M99" i="21" s="1"/>
  <c r="M101" i="22"/>
  <c r="L105" i="22"/>
  <c r="E104" i="22"/>
  <c r="L28" i="22"/>
  <c r="E27" i="22"/>
  <c r="M27" i="22" s="1"/>
  <c r="M28" i="21"/>
  <c r="L28" i="21"/>
  <c r="E27" i="21"/>
  <c r="M27" i="21" s="1"/>
  <c r="L28" i="20"/>
  <c r="E27" i="20"/>
  <c r="M27" i="20" s="1"/>
  <c r="L33" i="20"/>
  <c r="E32" i="20"/>
  <c r="M32" i="20" s="1"/>
  <c r="L39" i="20"/>
  <c r="E38" i="20"/>
  <c r="M38" i="20" s="1"/>
  <c r="L30" i="20"/>
  <c r="E29" i="20"/>
  <c r="M29" i="20" s="1"/>
  <c r="L35" i="20"/>
  <c r="E34" i="20"/>
  <c r="M34" i="20" s="1"/>
  <c r="L29" i="20"/>
  <c r="E28" i="20"/>
  <c r="M28" i="20" s="1"/>
  <c r="L31" i="20"/>
  <c r="E30" i="20"/>
  <c r="M30" i="20" s="1"/>
  <c r="L32" i="20"/>
  <c r="L34" i="20"/>
  <c r="E33" i="20"/>
  <c r="M33" i="20" s="1"/>
  <c r="L36" i="20"/>
  <c r="E35" i="20"/>
  <c r="M35" i="20" s="1"/>
  <c r="L38" i="20"/>
  <c r="E37" i="20"/>
  <c r="M37" i="20" s="1"/>
  <c r="M31" i="20"/>
  <c r="L37" i="20"/>
  <c r="E36" i="20"/>
  <c r="M36" i="20" s="1"/>
  <c r="C99" i="24"/>
  <c r="E98" i="24" s="1"/>
  <c r="D98" i="24"/>
  <c r="L67" i="1"/>
  <c r="D102" i="20"/>
  <c r="E21" i="20"/>
  <c r="D21" i="20" s="1"/>
  <c r="L55" i="20"/>
  <c r="B99" i="20"/>
  <c r="L99" i="20"/>
  <c r="B101" i="20"/>
  <c r="L101" i="20"/>
  <c r="B102" i="20"/>
  <c r="L102" i="20"/>
  <c r="B103" i="20"/>
  <c r="L103" i="20"/>
  <c r="B104" i="20"/>
  <c r="L104" i="20"/>
  <c r="B105" i="20"/>
  <c r="L105" i="20"/>
  <c r="E21" i="21"/>
  <c r="D21" i="21" s="1"/>
  <c r="L55" i="21"/>
  <c r="E21" i="22"/>
  <c r="D21" i="22" s="1"/>
  <c r="L58" i="22"/>
  <c r="B101" i="22"/>
  <c r="L101" i="22"/>
  <c r="B102" i="22"/>
  <c r="L102" i="22"/>
  <c r="B103" i="22"/>
  <c r="L103" i="22"/>
  <c r="B104" i="22"/>
  <c r="L104" i="22"/>
  <c r="M103" i="22"/>
  <c r="D98" i="20"/>
  <c r="D104" i="20"/>
  <c r="D103" i="20"/>
  <c r="B101" i="21"/>
  <c r="D99" i="20"/>
  <c r="D101" i="20"/>
  <c r="D100" i="20"/>
  <c r="B100" i="20"/>
  <c r="D100" i="21" l="1"/>
  <c r="D99" i="21"/>
  <c r="D87" i="21"/>
  <c r="M87" i="21"/>
  <c r="D86" i="21"/>
  <c r="M86" i="21"/>
  <c r="D96" i="22"/>
  <c r="M96" i="22"/>
  <c r="D92" i="22"/>
  <c r="M92" i="22"/>
  <c r="D88" i="22"/>
  <c r="M88" i="22"/>
  <c r="D84" i="22"/>
  <c r="M84" i="22"/>
  <c r="D99" i="22"/>
  <c r="M99" i="22"/>
  <c r="D95" i="22"/>
  <c r="M95" i="22"/>
  <c r="D91" i="22"/>
  <c r="M91" i="22"/>
  <c r="D87" i="22"/>
  <c r="M87" i="22"/>
  <c r="D83" i="22"/>
  <c r="M83" i="22"/>
  <c r="D105" i="22"/>
  <c r="M105" i="22"/>
  <c r="D90" i="21"/>
  <c r="M90" i="21"/>
  <c r="D89" i="21"/>
  <c r="M89" i="21"/>
  <c r="D98" i="22"/>
  <c r="M98" i="22"/>
  <c r="D94" i="22"/>
  <c r="M94" i="22"/>
  <c r="D90" i="22"/>
  <c r="M90" i="22"/>
  <c r="D86" i="22"/>
  <c r="M86" i="22"/>
  <c r="D82" i="22"/>
  <c r="M82" i="22"/>
  <c r="D97" i="22"/>
  <c r="M97" i="22"/>
  <c r="D93" i="22"/>
  <c r="M93" i="22"/>
  <c r="D89" i="22"/>
  <c r="M89" i="22"/>
  <c r="D85" i="22"/>
  <c r="M85" i="22"/>
  <c r="D88" i="21"/>
  <c r="M88" i="21"/>
  <c r="D97" i="20"/>
  <c r="D104" i="22"/>
  <c r="M104" i="22"/>
  <c r="L99" i="24"/>
  <c r="B99" i="24"/>
  <c r="M98" i="24"/>
  <c r="D99" i="24"/>
  <c r="C100" i="24"/>
  <c r="E99" i="24" s="1"/>
  <c r="B36" i="25"/>
  <c r="D37" i="25"/>
  <c r="B33" i="25"/>
  <c r="B31" i="25"/>
  <c r="B30" i="25"/>
  <c r="B28" i="25"/>
  <c r="B27" i="25"/>
  <c r="C87" i="25"/>
  <c r="B88" i="25" s="1"/>
  <c r="C86" i="25"/>
  <c r="B87" i="25" s="1"/>
  <c r="C85" i="25"/>
  <c r="B86" i="25" s="1"/>
  <c r="B85" i="25"/>
  <c r="B84" i="25"/>
  <c r="E82" i="25"/>
  <c r="C82" i="25"/>
  <c r="B83" i="25" s="1"/>
  <c r="B82" i="25"/>
  <c r="D79" i="25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E59" i="25"/>
  <c r="M59" i="25" s="1"/>
  <c r="C59" i="25"/>
  <c r="C58" i="25"/>
  <c r="B57" i="25"/>
  <c r="C56" i="25"/>
  <c r="B56" i="25" s="1"/>
  <c r="E55" i="25"/>
  <c r="C51" i="25"/>
  <c r="B51" i="25" s="1"/>
  <c r="C50" i="25"/>
  <c r="B50" i="25" s="1"/>
  <c r="C49" i="25"/>
  <c r="B49" i="25" s="1"/>
  <c r="E48" i="25"/>
  <c r="C48" i="25"/>
  <c r="B48" i="25" s="1"/>
  <c r="C47" i="25"/>
  <c r="B47" i="25" s="1"/>
  <c r="C40" i="25"/>
  <c r="B44" i="25" s="1"/>
  <c r="B32" i="25"/>
  <c r="B51" i="24"/>
  <c r="B50" i="24"/>
  <c r="B49" i="24"/>
  <c r="B47" i="24"/>
  <c r="B45" i="24"/>
  <c r="B44" i="24"/>
  <c r="B43" i="24"/>
  <c r="B42" i="24"/>
  <c r="B41" i="24"/>
  <c r="B39" i="24"/>
  <c r="B38" i="24"/>
  <c r="B36" i="24"/>
  <c r="B35" i="24"/>
  <c r="B34" i="24"/>
  <c r="B33" i="24"/>
  <c r="B32" i="24"/>
  <c r="B31" i="24"/>
  <c r="B30" i="24"/>
  <c r="B29" i="24"/>
  <c r="B28" i="24"/>
  <c r="C107" i="24"/>
  <c r="B108" i="24" s="1"/>
  <c r="C106" i="24"/>
  <c r="B107" i="24" s="1"/>
  <c r="C105" i="24"/>
  <c r="B106" i="24" s="1"/>
  <c r="B105" i="24"/>
  <c r="B104" i="24"/>
  <c r="E102" i="24"/>
  <c r="C102" i="24"/>
  <c r="B103" i="24" s="1"/>
  <c r="B102" i="24"/>
  <c r="B95" i="24"/>
  <c r="B96" i="24"/>
  <c r="B94" i="24"/>
  <c r="B93" i="24"/>
  <c r="D92" i="24"/>
  <c r="B92" i="24"/>
  <c r="D91" i="24"/>
  <c r="B91" i="24"/>
  <c r="D90" i="24"/>
  <c r="B90" i="24"/>
  <c r="D89" i="24"/>
  <c r="B89" i="24"/>
  <c r="D88" i="24"/>
  <c r="B88" i="24"/>
  <c r="D87" i="24"/>
  <c r="B87" i="24"/>
  <c r="D86" i="24"/>
  <c r="B86" i="24"/>
  <c r="D85" i="24"/>
  <c r="B85" i="24"/>
  <c r="D84" i="24"/>
  <c r="B84" i="24"/>
  <c r="D83" i="24"/>
  <c r="B83" i="24"/>
  <c r="D82" i="24"/>
  <c r="B82" i="24"/>
  <c r="D81" i="24"/>
  <c r="B81" i="24"/>
  <c r="D80" i="24"/>
  <c r="B80" i="24"/>
  <c r="D79" i="24"/>
  <c r="B79" i="24"/>
  <c r="D78" i="24"/>
  <c r="B78" i="24"/>
  <c r="D77" i="24"/>
  <c r="B77" i="24"/>
  <c r="D76" i="24"/>
  <c r="B76" i="24"/>
  <c r="D75" i="24"/>
  <c r="B75" i="24"/>
  <c r="E73" i="24"/>
  <c r="C73" i="24"/>
  <c r="L73" i="24" s="1"/>
  <c r="C72" i="24"/>
  <c r="B71" i="24"/>
  <c r="C70" i="24"/>
  <c r="B70" i="24" s="1"/>
  <c r="E69" i="24"/>
  <c r="C65" i="24"/>
  <c r="B65" i="24" s="1"/>
  <c r="C64" i="24"/>
  <c r="B64" i="24" s="1"/>
  <c r="C63" i="24"/>
  <c r="E10" i="24" s="1"/>
  <c r="D10" i="24" s="1"/>
  <c r="E62" i="24"/>
  <c r="C62" i="24"/>
  <c r="B62" i="24" s="1"/>
  <c r="C61" i="24"/>
  <c r="B61" i="24" s="1"/>
  <c r="C54" i="24"/>
  <c r="B58" i="24" s="1"/>
  <c r="B46" i="24"/>
  <c r="B37" i="24"/>
  <c r="B27" i="24"/>
  <c r="B56" i="22"/>
  <c r="B53" i="22"/>
  <c r="B51" i="22"/>
  <c r="B46" i="22"/>
  <c r="B45" i="22"/>
  <c r="B43" i="22"/>
  <c r="B42" i="22"/>
  <c r="B39" i="22"/>
  <c r="B37" i="22"/>
  <c r="B36" i="22"/>
  <c r="B35" i="22"/>
  <c r="B32" i="22"/>
  <c r="B31" i="22"/>
  <c r="B30" i="22"/>
  <c r="D27" i="22"/>
  <c r="B55" i="22"/>
  <c r="C113" i="22"/>
  <c r="B114" i="22" s="1"/>
  <c r="C112" i="22"/>
  <c r="B113" i="22" s="1"/>
  <c r="C111" i="22"/>
  <c r="B112" i="22" s="1"/>
  <c r="B111" i="22"/>
  <c r="B110" i="22"/>
  <c r="E108" i="22"/>
  <c r="C108" i="22"/>
  <c r="B109" i="22" s="1"/>
  <c r="B108" i="22"/>
  <c r="B105" i="22"/>
  <c r="B100" i="22"/>
  <c r="B99" i="22"/>
  <c r="B98" i="22"/>
  <c r="B97" i="22"/>
  <c r="B96" i="22"/>
  <c r="B95" i="22"/>
  <c r="B94" i="22"/>
  <c r="B93" i="22"/>
  <c r="B92" i="22"/>
  <c r="B91" i="22"/>
  <c r="B90" i="22"/>
  <c r="B89" i="22"/>
  <c r="B88" i="22"/>
  <c r="B87" i="22"/>
  <c r="B86" i="22"/>
  <c r="B85" i="22"/>
  <c r="B84" i="22"/>
  <c r="B83" i="22"/>
  <c r="B82" i="22"/>
  <c r="D81" i="22"/>
  <c r="B81" i="22"/>
  <c r="E79" i="22"/>
  <c r="M79" i="22" s="1"/>
  <c r="C79" i="22"/>
  <c r="C78" i="22"/>
  <c r="B77" i="22"/>
  <c r="C76" i="22"/>
  <c r="B76" i="22" s="1"/>
  <c r="E75" i="22"/>
  <c r="C71" i="22"/>
  <c r="B71" i="22" s="1"/>
  <c r="C70" i="22"/>
  <c r="B70" i="22" s="1"/>
  <c r="C69" i="22"/>
  <c r="B69" i="22" s="1"/>
  <c r="E68" i="22"/>
  <c r="C68" i="22"/>
  <c r="B68" i="22" s="1"/>
  <c r="C67" i="22"/>
  <c r="B67" i="22" s="1"/>
  <c r="C60" i="22"/>
  <c r="B64" i="22" s="1"/>
  <c r="B40" i="22"/>
  <c r="B27" i="21"/>
  <c r="C108" i="21"/>
  <c r="B109" i="21" s="1"/>
  <c r="C107" i="21"/>
  <c r="B108" i="21" s="1"/>
  <c r="C106" i="21"/>
  <c r="B107" i="21" s="1"/>
  <c r="B106" i="21"/>
  <c r="B105" i="21"/>
  <c r="E103" i="21"/>
  <c r="C103" i="21"/>
  <c r="B104" i="21" s="1"/>
  <c r="B103" i="21"/>
  <c r="B100" i="21"/>
  <c r="B99" i="21"/>
  <c r="D98" i="21"/>
  <c r="B98" i="21"/>
  <c r="D97" i="21"/>
  <c r="B97" i="21"/>
  <c r="D96" i="21"/>
  <c r="B96" i="21"/>
  <c r="D95" i="21"/>
  <c r="B95" i="21"/>
  <c r="D94" i="21"/>
  <c r="B94" i="21"/>
  <c r="D93" i="21"/>
  <c r="B93" i="21"/>
  <c r="D92" i="21"/>
  <c r="B92" i="21"/>
  <c r="D91" i="21"/>
  <c r="B91" i="21"/>
  <c r="B87" i="21"/>
  <c r="B89" i="21"/>
  <c r="B88" i="21"/>
  <c r="B90" i="21"/>
  <c r="B86" i="21"/>
  <c r="D85" i="21"/>
  <c r="B85" i="21"/>
  <c r="D84" i="21"/>
  <c r="B84" i="21"/>
  <c r="D83" i="21"/>
  <c r="B83" i="21"/>
  <c r="D82" i="21"/>
  <c r="B82" i="21"/>
  <c r="D81" i="21"/>
  <c r="B81" i="21"/>
  <c r="D80" i="21"/>
  <c r="B80" i="21"/>
  <c r="D79" i="21"/>
  <c r="B79" i="21"/>
  <c r="D78" i="21"/>
  <c r="B78" i="21"/>
  <c r="E76" i="21"/>
  <c r="M76" i="21" s="1"/>
  <c r="C76" i="21"/>
  <c r="C75" i="21"/>
  <c r="B74" i="21"/>
  <c r="C73" i="21"/>
  <c r="B73" i="21" s="1"/>
  <c r="E72" i="21"/>
  <c r="C68" i="21"/>
  <c r="B68" i="21" s="1"/>
  <c r="C67" i="21"/>
  <c r="B67" i="21" s="1"/>
  <c r="C66" i="21"/>
  <c r="E65" i="21"/>
  <c r="C65" i="21"/>
  <c r="C64" i="21"/>
  <c r="B64" i="21" s="1"/>
  <c r="C57" i="21"/>
  <c r="B60" i="21" s="1"/>
  <c r="B54" i="20"/>
  <c r="B53" i="20"/>
  <c r="B52" i="20"/>
  <c r="B51" i="20"/>
  <c r="B50" i="20"/>
  <c r="B49" i="20"/>
  <c r="B48" i="20"/>
  <c r="B47" i="20"/>
  <c r="B46" i="20"/>
  <c r="B44" i="20"/>
  <c r="B42" i="20"/>
  <c r="B41" i="20"/>
  <c r="B39" i="20"/>
  <c r="B37" i="20"/>
  <c r="B36" i="20"/>
  <c r="B35" i="20"/>
  <c r="B33" i="20"/>
  <c r="B32" i="20"/>
  <c r="B30" i="20"/>
  <c r="B29" i="20"/>
  <c r="B28" i="20"/>
  <c r="B27" i="20"/>
  <c r="C112" i="20"/>
  <c r="B113" i="20" s="1"/>
  <c r="C111" i="20"/>
  <c r="B112" i="20" s="1"/>
  <c r="C110" i="20"/>
  <c r="B111" i="20" s="1"/>
  <c r="B110" i="20"/>
  <c r="B109" i="20"/>
  <c r="E107" i="20"/>
  <c r="C107" i="20"/>
  <c r="B107" i="20"/>
  <c r="B98" i="20"/>
  <c r="B97" i="20"/>
  <c r="B96" i="20"/>
  <c r="B95" i="20"/>
  <c r="D94" i="20"/>
  <c r="B94" i="20"/>
  <c r="B93" i="20"/>
  <c r="B92" i="20"/>
  <c r="B91" i="20"/>
  <c r="D90" i="20"/>
  <c r="B90" i="20"/>
  <c r="B89" i="20"/>
  <c r="B88" i="20"/>
  <c r="B87" i="20"/>
  <c r="D86" i="20"/>
  <c r="B86" i="20"/>
  <c r="B85" i="20"/>
  <c r="B84" i="20"/>
  <c r="B83" i="20"/>
  <c r="D82" i="20"/>
  <c r="B82" i="20"/>
  <c r="B81" i="20"/>
  <c r="B80" i="20"/>
  <c r="B79" i="20"/>
  <c r="D78" i="20"/>
  <c r="B78" i="20"/>
  <c r="E76" i="20"/>
  <c r="M76" i="20" s="1"/>
  <c r="C76" i="20"/>
  <c r="C75" i="20"/>
  <c r="B74" i="20"/>
  <c r="C73" i="20"/>
  <c r="D73" i="20" s="1"/>
  <c r="E72" i="20"/>
  <c r="C68" i="20"/>
  <c r="B68" i="20" s="1"/>
  <c r="C67" i="20"/>
  <c r="B67" i="20" s="1"/>
  <c r="C66" i="20"/>
  <c r="B66" i="20" s="1"/>
  <c r="E65" i="20"/>
  <c r="C65" i="20"/>
  <c r="C64" i="20"/>
  <c r="B64" i="20" s="1"/>
  <c r="C57" i="20"/>
  <c r="C62" i="20" s="1"/>
  <c r="B62" i="20" s="1"/>
  <c r="D46" i="20"/>
  <c r="B43" i="20"/>
  <c r="B38" i="20"/>
  <c r="B34" i="20"/>
  <c r="B31" i="20"/>
  <c r="M112" i="1"/>
  <c r="C112" i="1"/>
  <c r="C111" i="1"/>
  <c r="C110" i="1"/>
  <c r="C109" i="1"/>
  <c r="C108" i="1"/>
  <c r="C107" i="1"/>
  <c r="C106" i="1"/>
  <c r="C105" i="1"/>
  <c r="C104" i="1"/>
  <c r="C103" i="1"/>
  <c r="C102" i="1"/>
  <c r="B102" i="1" s="1"/>
  <c r="C101" i="1"/>
  <c r="C100" i="1"/>
  <c r="C99" i="1"/>
  <c r="C98" i="1"/>
  <c r="C97" i="1"/>
  <c r="C96" i="1"/>
  <c r="C95" i="1"/>
  <c r="C94" i="1"/>
  <c r="C93" i="1"/>
  <c r="C92" i="1"/>
  <c r="C91" i="1"/>
  <c r="C90" i="1"/>
  <c r="L90" i="1" s="1"/>
  <c r="M66" i="1"/>
  <c r="M29" i="1"/>
  <c r="M27" i="1"/>
  <c r="L28" i="1"/>
  <c r="C27" i="1"/>
  <c r="L27" i="1" s="1"/>
  <c r="D65" i="21" l="1"/>
  <c r="B59" i="25"/>
  <c r="L59" i="25"/>
  <c r="B58" i="25"/>
  <c r="L58" i="25"/>
  <c r="B73" i="24"/>
  <c r="D73" i="24"/>
  <c r="M73" i="24"/>
  <c r="D62" i="24"/>
  <c r="B72" i="24"/>
  <c r="L72" i="24"/>
  <c r="L107" i="1"/>
  <c r="E106" i="1"/>
  <c r="L91" i="1"/>
  <c r="E90" i="1"/>
  <c r="M90" i="1" s="1"/>
  <c r="L95" i="1"/>
  <c r="E94" i="1"/>
  <c r="L99" i="1"/>
  <c r="E98" i="1"/>
  <c r="L103" i="1"/>
  <c r="E102" i="1"/>
  <c r="L111" i="1"/>
  <c r="E110" i="1"/>
  <c r="L93" i="1"/>
  <c r="E92" i="1"/>
  <c r="L97" i="1"/>
  <c r="E96" i="1"/>
  <c r="L101" i="1"/>
  <c r="E100" i="1"/>
  <c r="L105" i="1"/>
  <c r="E104" i="1"/>
  <c r="L109" i="1"/>
  <c r="E108" i="1"/>
  <c r="L92" i="1"/>
  <c r="E91" i="1"/>
  <c r="L94" i="1"/>
  <c r="E93" i="1"/>
  <c r="L96" i="1"/>
  <c r="E95" i="1"/>
  <c r="L98" i="1"/>
  <c r="E97" i="1"/>
  <c r="L100" i="1"/>
  <c r="E99" i="1"/>
  <c r="L102" i="1"/>
  <c r="E101" i="1"/>
  <c r="L104" i="1"/>
  <c r="E103" i="1"/>
  <c r="L106" i="1"/>
  <c r="E105" i="1"/>
  <c r="L108" i="1"/>
  <c r="E107" i="1"/>
  <c r="L110" i="1"/>
  <c r="E109" i="1"/>
  <c r="L112" i="1"/>
  <c r="E111" i="1"/>
  <c r="D112" i="1"/>
  <c r="B78" i="22"/>
  <c r="L78" i="22"/>
  <c r="B79" i="22"/>
  <c r="L79" i="22"/>
  <c r="B75" i="21"/>
  <c r="L75" i="21"/>
  <c r="B76" i="21"/>
  <c r="L76" i="21"/>
  <c r="D103" i="21"/>
  <c r="B75" i="20"/>
  <c r="L75" i="20"/>
  <c r="B76" i="20"/>
  <c r="L76" i="20"/>
  <c r="M99" i="24"/>
  <c r="L100" i="24"/>
  <c r="B100" i="24"/>
  <c r="L35" i="1"/>
  <c r="L50" i="1"/>
  <c r="M49" i="1"/>
  <c r="M62" i="1"/>
  <c r="L32" i="1"/>
  <c r="M31" i="1"/>
  <c r="L36" i="1"/>
  <c r="L41" i="1"/>
  <c r="M40" i="1"/>
  <c r="L46" i="1"/>
  <c r="M45" i="1"/>
  <c r="L52" i="1"/>
  <c r="M51" i="1"/>
  <c r="L56" i="1"/>
  <c r="M55" i="1"/>
  <c r="L61" i="1"/>
  <c r="M60" i="1"/>
  <c r="L66" i="1"/>
  <c r="M65" i="1"/>
  <c r="L29" i="1"/>
  <c r="M28" i="1"/>
  <c r="L31" i="1"/>
  <c r="M30" i="1"/>
  <c r="L33" i="1"/>
  <c r="M32" i="1"/>
  <c r="M34" i="1"/>
  <c r="M35" i="1"/>
  <c r="L38" i="1"/>
  <c r="M36" i="1"/>
  <c r="L40" i="1"/>
  <c r="M39" i="1"/>
  <c r="L42" i="1"/>
  <c r="M41" i="1"/>
  <c r="L45" i="1"/>
  <c r="M43" i="1"/>
  <c r="L47" i="1"/>
  <c r="M46" i="1"/>
  <c r="L49" i="1"/>
  <c r="M48" i="1"/>
  <c r="L51" i="1"/>
  <c r="M50" i="1"/>
  <c r="L53" i="1"/>
  <c r="M52" i="1"/>
  <c r="L55" i="1"/>
  <c r="L57" i="1"/>
  <c r="M56" i="1"/>
  <c r="L60" i="1"/>
  <c r="M58" i="1"/>
  <c r="L62" i="1"/>
  <c r="M61" i="1"/>
  <c r="L63" i="1"/>
  <c r="L65" i="1"/>
  <c r="M64" i="1"/>
  <c r="L34" i="1"/>
  <c r="M33" i="1"/>
  <c r="L39" i="1"/>
  <c r="M38" i="1"/>
  <c r="L43" i="1"/>
  <c r="M42" i="1"/>
  <c r="L48" i="1"/>
  <c r="M47" i="1"/>
  <c r="M53" i="1"/>
  <c r="L58" i="1"/>
  <c r="M57" i="1"/>
  <c r="L64" i="1"/>
  <c r="M63" i="1"/>
  <c r="L30" i="1"/>
  <c r="B66" i="21"/>
  <c r="E10" i="21"/>
  <c r="D10" i="21" s="1"/>
  <c r="B63" i="24"/>
  <c r="B65" i="20"/>
  <c r="E10" i="20"/>
  <c r="D10" i="20" s="1"/>
  <c r="D36" i="25"/>
  <c r="D28" i="25"/>
  <c r="D30" i="25"/>
  <c r="B59" i="21"/>
  <c r="D65" i="20"/>
  <c r="D29" i="20"/>
  <c r="D32" i="20"/>
  <c r="D36" i="20"/>
  <c r="D52" i="20"/>
  <c r="B37" i="25"/>
  <c r="B52" i="22"/>
  <c r="D29" i="25"/>
  <c r="D39" i="20"/>
  <c r="D28" i="20"/>
  <c r="D30" i="20"/>
  <c r="D33" i="20"/>
  <c r="D35" i="20"/>
  <c r="D37" i="20"/>
  <c r="D42" i="20"/>
  <c r="D49" i="20"/>
  <c r="B27" i="22"/>
  <c r="D27" i="25"/>
  <c r="D32" i="25"/>
  <c r="B29" i="22"/>
  <c r="B44" i="22"/>
  <c r="B50" i="22"/>
  <c r="B33" i="22"/>
  <c r="B38" i="22"/>
  <c r="B57" i="22"/>
  <c r="D35" i="25"/>
  <c r="B35" i="25"/>
  <c r="B28" i="22"/>
  <c r="B29" i="25"/>
  <c r="D31" i="25"/>
  <c r="D48" i="25"/>
  <c r="D59" i="25"/>
  <c r="D33" i="25"/>
  <c r="B43" i="25"/>
  <c r="C45" i="25"/>
  <c r="B45" i="25" s="1"/>
  <c r="D56" i="25"/>
  <c r="D82" i="25"/>
  <c r="E40" i="25"/>
  <c r="D40" i="25" s="1"/>
  <c r="B40" i="25"/>
  <c r="B42" i="25"/>
  <c r="D27" i="24"/>
  <c r="D28" i="24"/>
  <c r="D29" i="24"/>
  <c r="D30" i="24"/>
  <c r="D31" i="24"/>
  <c r="D33" i="24"/>
  <c r="D34" i="24"/>
  <c r="D35" i="24"/>
  <c r="D36" i="24"/>
  <c r="D37" i="24"/>
  <c r="D38" i="24"/>
  <c r="D42" i="24"/>
  <c r="D43" i="24"/>
  <c r="D44" i="24"/>
  <c r="D45" i="24"/>
  <c r="D46" i="24"/>
  <c r="D47" i="24"/>
  <c r="D51" i="24"/>
  <c r="B57" i="24"/>
  <c r="C59" i="24"/>
  <c r="B59" i="24" s="1"/>
  <c r="D70" i="24"/>
  <c r="D102" i="24"/>
  <c r="E54" i="24"/>
  <c r="D54" i="24" s="1"/>
  <c r="B54" i="24"/>
  <c r="B56" i="24"/>
  <c r="B54" i="22"/>
  <c r="B49" i="22"/>
  <c r="D79" i="22"/>
  <c r="D68" i="22"/>
  <c r="B63" i="22"/>
  <c r="B65" i="22"/>
  <c r="D76" i="22"/>
  <c r="D108" i="22"/>
  <c r="E60" i="22"/>
  <c r="D60" i="22" s="1"/>
  <c r="B60" i="22"/>
  <c r="B62" i="22"/>
  <c r="E57" i="21"/>
  <c r="D57" i="21" s="1"/>
  <c r="D73" i="21"/>
  <c r="C61" i="21"/>
  <c r="B61" i="21" s="1"/>
  <c r="D76" i="21"/>
  <c r="B65" i="21"/>
  <c r="B57" i="21"/>
  <c r="E57" i="20"/>
  <c r="D57" i="20" s="1"/>
  <c r="B61" i="20"/>
  <c r="D47" i="20"/>
  <c r="D50" i="20"/>
  <c r="D53" i="20"/>
  <c r="B57" i="20"/>
  <c r="B59" i="20"/>
  <c r="B73" i="20"/>
  <c r="D27" i="20"/>
  <c r="D31" i="20"/>
  <c r="D34" i="20"/>
  <c r="D38" i="20"/>
  <c r="D43" i="20"/>
  <c r="D48" i="20"/>
  <c r="D54" i="20"/>
  <c r="B108" i="20"/>
  <c r="D107" i="20"/>
  <c r="D76" i="20"/>
  <c r="D81" i="20"/>
  <c r="D85" i="20"/>
  <c r="D89" i="20"/>
  <c r="D93" i="20"/>
  <c r="D80" i="20"/>
  <c r="D84" i="20"/>
  <c r="D88" i="20"/>
  <c r="D92" i="20"/>
  <c r="D96" i="20"/>
  <c r="D79" i="20"/>
  <c r="D83" i="20"/>
  <c r="D87" i="20"/>
  <c r="D91" i="20"/>
  <c r="D95" i="20"/>
  <c r="B60" i="20"/>
  <c r="D111" i="1" l="1"/>
  <c r="M111" i="1"/>
  <c r="D103" i="1"/>
  <c r="M103" i="1"/>
  <c r="D95" i="1"/>
  <c r="M95" i="1"/>
  <c r="D91" i="1"/>
  <c r="M91" i="1"/>
  <c r="D96" i="1"/>
  <c r="M96" i="1"/>
  <c r="D110" i="1"/>
  <c r="M110" i="1"/>
  <c r="D104" i="1"/>
  <c r="M104" i="1"/>
  <c r="D109" i="1"/>
  <c r="M109" i="1"/>
  <c r="D105" i="1"/>
  <c r="M105" i="1"/>
  <c r="D101" i="1"/>
  <c r="M101" i="1"/>
  <c r="D97" i="1"/>
  <c r="M97" i="1"/>
  <c r="D93" i="1"/>
  <c r="M93" i="1"/>
  <c r="D108" i="1"/>
  <c r="M108" i="1"/>
  <c r="D100" i="1"/>
  <c r="M100" i="1"/>
  <c r="D92" i="1"/>
  <c r="M92" i="1"/>
  <c r="D102" i="1"/>
  <c r="M102" i="1"/>
  <c r="D94" i="1"/>
  <c r="M94" i="1"/>
  <c r="D106" i="1"/>
  <c r="M106" i="1"/>
  <c r="D107" i="1"/>
  <c r="M107" i="1"/>
  <c r="D99" i="1"/>
  <c r="M99" i="1"/>
  <c r="D98" i="1"/>
  <c r="M98" i="1"/>
  <c r="B41" i="25"/>
  <c r="D41" i="25"/>
  <c r="B55" i="24"/>
  <c r="D55" i="24"/>
  <c r="B61" i="22"/>
  <c r="D61" i="22"/>
  <c r="B62" i="21"/>
  <c r="D62" i="21"/>
  <c r="D58" i="20"/>
  <c r="B58" i="20"/>
  <c r="D27" i="21" l="1"/>
  <c r="B28" i="21"/>
  <c r="D28" i="21" l="1"/>
  <c r="B30" i="21" l="1"/>
  <c r="D30" i="21" l="1"/>
  <c r="B31" i="21" l="1"/>
  <c r="D31" i="21" l="1"/>
  <c r="D32" i="21" l="1"/>
  <c r="B33" i="21"/>
  <c r="B32" i="21"/>
  <c r="D33" i="21" l="1"/>
  <c r="B34" i="21" l="1"/>
  <c r="D34" i="21"/>
  <c r="B35" i="21"/>
  <c r="D35" i="21" l="1"/>
  <c r="B38" i="21" l="1"/>
  <c r="B36" i="21"/>
  <c r="B39" i="21" l="1"/>
  <c r="D39" i="21"/>
  <c r="B40" i="21"/>
  <c r="D40" i="21" l="1"/>
  <c r="B42" i="21" l="1"/>
  <c r="D41" i="21"/>
  <c r="B41" i="21"/>
  <c r="B43" i="21" l="1"/>
  <c r="D42" i="21"/>
  <c r="B54" i="21" l="1"/>
  <c r="D43" i="21"/>
  <c r="B45" i="21"/>
  <c r="D45" i="21" l="1"/>
  <c r="B46" i="21" l="1"/>
  <c r="D46" i="21"/>
  <c r="B47" i="21"/>
  <c r="D47" i="21" l="1"/>
  <c r="B48" i="21" l="1"/>
  <c r="D48" i="21"/>
  <c r="B49" i="21"/>
  <c r="D49" i="21" l="1"/>
  <c r="B50" i="21" l="1"/>
  <c r="D50" i="21"/>
  <c r="B51" i="21"/>
  <c r="D51" i="21" l="1"/>
  <c r="B52" i="21" l="1"/>
  <c r="B65" i="13" l="1"/>
  <c r="B64" i="13"/>
  <c r="B48" i="13"/>
  <c r="B50" i="13"/>
  <c r="B49" i="13"/>
  <c r="B45" i="13"/>
  <c r="B46" i="13"/>
  <c r="B53" i="13"/>
  <c r="B55" i="13"/>
  <c r="B56" i="13"/>
  <c r="B57" i="13"/>
  <c r="B54" i="13"/>
  <c r="B58" i="13"/>
  <c r="B59" i="13"/>
  <c r="B60" i="13"/>
  <c r="B61" i="13"/>
  <c r="B23" i="12"/>
  <c r="D52" i="16"/>
  <c r="D49" i="16"/>
  <c r="D48" i="16"/>
  <c r="D44" i="16"/>
  <c r="D52" i="15"/>
  <c r="D51" i="15"/>
  <c r="D50" i="15"/>
  <c r="D53" i="13"/>
  <c r="D52" i="13"/>
  <c r="D50" i="13"/>
  <c r="D48" i="13"/>
  <c r="D14" i="13"/>
  <c r="D13" i="13"/>
  <c r="D10" i="13"/>
  <c r="D8" i="13"/>
  <c r="D35" i="14" l="1"/>
  <c r="D25" i="14"/>
  <c r="E22" i="14"/>
  <c r="D73" i="16"/>
  <c r="D62" i="16"/>
  <c r="C59" i="16"/>
  <c r="D36" i="16"/>
  <c r="D25" i="16"/>
  <c r="E22" i="16"/>
  <c r="C61" i="15"/>
  <c r="D36" i="15"/>
  <c r="D25" i="15"/>
  <c r="D75" i="15"/>
  <c r="D64" i="15"/>
  <c r="E22" i="15"/>
  <c r="D46" i="12"/>
  <c r="D43" i="12"/>
  <c r="B42" i="12"/>
  <c r="D42" i="12"/>
  <c r="D12" i="12"/>
  <c r="D11" i="12"/>
  <c r="B55" i="12"/>
  <c r="B43" i="12"/>
  <c r="B45" i="12"/>
  <c r="B41" i="12"/>
  <c r="B46" i="12"/>
  <c r="B48" i="12"/>
  <c r="B44" i="12"/>
  <c r="B47" i="12"/>
  <c r="B49" i="12"/>
  <c r="B50" i="12"/>
  <c r="B51" i="12"/>
  <c r="B52" i="12"/>
  <c r="B24" i="12"/>
  <c r="B20" i="12"/>
  <c r="E52" i="12"/>
  <c r="E23" i="12"/>
  <c r="M23" i="12" s="1"/>
  <c r="E24" i="12"/>
  <c r="D55" i="12"/>
  <c r="E55" i="12" s="1"/>
  <c r="M55" i="12" s="1"/>
  <c r="C56" i="12"/>
  <c r="D74" i="13"/>
  <c r="E65" i="13"/>
  <c r="D64" i="13"/>
  <c r="E64" i="13" s="1"/>
  <c r="M64" i="13" s="1"/>
  <c r="E61" i="13"/>
  <c r="D35" i="13"/>
  <c r="D25" i="13"/>
  <c r="E22" i="13"/>
  <c r="E20" i="12"/>
  <c r="C23" i="14" l="1"/>
  <c r="M22" i="14"/>
  <c r="C23" i="16"/>
  <c r="M22" i="16"/>
  <c r="E59" i="16"/>
  <c r="L59" i="16"/>
  <c r="C23" i="15"/>
  <c r="L23" i="15" s="1"/>
  <c r="M22" i="15"/>
  <c r="E61" i="15"/>
  <c r="L61" i="15"/>
  <c r="C23" i="13"/>
  <c r="M22" i="13"/>
  <c r="C62" i="13"/>
  <c r="L62" i="13" s="1"/>
  <c r="M61" i="13"/>
  <c r="C66" i="13"/>
  <c r="L66" i="13" s="1"/>
  <c r="M65" i="13"/>
  <c r="C21" i="12"/>
  <c r="M20" i="12"/>
  <c r="E56" i="12"/>
  <c r="L56" i="12"/>
  <c r="C53" i="12"/>
  <c r="L53" i="12" s="1"/>
  <c r="M52" i="12"/>
  <c r="C25" i="12"/>
  <c r="L25" i="12" s="1"/>
  <c r="M24" i="12"/>
  <c r="E62" i="13"/>
  <c r="M62" i="13" s="1"/>
  <c r="B62" i="13"/>
  <c r="E66" i="13"/>
  <c r="B66" i="13"/>
  <c r="E23" i="15"/>
  <c r="E53" i="12"/>
  <c r="M53" i="12" s="1"/>
  <c r="B53" i="12"/>
  <c r="E25" i="12"/>
  <c r="B56" i="12"/>
  <c r="B21" i="12"/>
  <c r="C119" i="1"/>
  <c r="B120" i="1" s="1"/>
  <c r="C120" i="1"/>
  <c r="B121" i="1" s="1"/>
  <c r="C118" i="1"/>
  <c r="B119" i="1" s="1"/>
  <c r="B117" i="1"/>
  <c r="E115" i="1"/>
  <c r="C115" i="1"/>
  <c r="B116" i="1" s="1"/>
  <c r="B118" i="1"/>
  <c r="B115" i="1"/>
  <c r="D11" i="1"/>
  <c r="D8" i="1"/>
  <c r="D6" i="1"/>
  <c r="B86" i="1"/>
  <c r="B25" i="12" l="1"/>
  <c r="E23" i="14"/>
  <c r="L23" i="14"/>
  <c r="C60" i="16"/>
  <c r="M59" i="16"/>
  <c r="E23" i="16"/>
  <c r="L23" i="16"/>
  <c r="C24" i="15"/>
  <c r="M23" i="15"/>
  <c r="C62" i="15"/>
  <c r="M61" i="15"/>
  <c r="C67" i="13"/>
  <c r="L67" i="13" s="1"/>
  <c r="M66" i="13"/>
  <c r="E23" i="13"/>
  <c r="L23" i="13"/>
  <c r="C57" i="12"/>
  <c r="M56" i="12"/>
  <c r="E21" i="12"/>
  <c r="M21" i="12" s="1"/>
  <c r="L21" i="12"/>
  <c r="C26" i="12"/>
  <c r="L26" i="12" s="1"/>
  <c r="M25" i="12"/>
  <c r="B13" i="15"/>
  <c r="B10" i="15"/>
  <c r="B9" i="15"/>
  <c r="B5" i="15"/>
  <c r="B16" i="15"/>
  <c r="B15" i="15"/>
  <c r="B20" i="15"/>
  <c r="B18" i="15"/>
  <c r="B14" i="15"/>
  <c r="B8" i="15"/>
  <c r="B4" i="15"/>
  <c r="B19" i="15"/>
  <c r="B11" i="15"/>
  <c r="B7" i="15"/>
  <c r="B17" i="15"/>
  <c r="B12" i="15"/>
  <c r="B6" i="15"/>
  <c r="E67" i="13"/>
  <c r="B67" i="13"/>
  <c r="B21" i="15"/>
  <c r="B22" i="15"/>
  <c r="C26" i="15"/>
  <c r="L26" i="15" s="1"/>
  <c r="C25" i="15"/>
  <c r="L25" i="15" s="1"/>
  <c r="D115" i="1"/>
  <c r="E26" i="12" l="1"/>
  <c r="C24" i="14"/>
  <c r="M23" i="14"/>
  <c r="C24" i="16"/>
  <c r="M23" i="16"/>
  <c r="E60" i="16"/>
  <c r="L60" i="16"/>
  <c r="L62" i="15"/>
  <c r="B91" i="15"/>
  <c r="B88" i="15"/>
  <c r="B90" i="15"/>
  <c r="B86" i="15"/>
  <c r="B89" i="15"/>
  <c r="B85" i="15"/>
  <c r="B92" i="15"/>
  <c r="B87" i="15"/>
  <c r="E62" i="15"/>
  <c r="L24" i="15"/>
  <c r="B23" i="15"/>
  <c r="C68" i="13"/>
  <c r="L68" i="13" s="1"/>
  <c r="M67" i="13"/>
  <c r="C24" i="13"/>
  <c r="M23" i="13"/>
  <c r="E57" i="12"/>
  <c r="L57" i="12"/>
  <c r="B57" i="12"/>
  <c r="B26" i="12"/>
  <c r="C27" i="12"/>
  <c r="L27" i="12" s="1"/>
  <c r="M26" i="12"/>
  <c r="E68" i="13"/>
  <c r="B68" i="13"/>
  <c r="B25" i="15"/>
  <c r="E25" i="15"/>
  <c r="M25" i="15" s="1"/>
  <c r="E26" i="15"/>
  <c r="B26" i="15"/>
  <c r="E77" i="1"/>
  <c r="C82" i="1"/>
  <c r="B82" i="1" s="1"/>
  <c r="C81" i="1"/>
  <c r="B81" i="1" s="1"/>
  <c r="C79" i="1"/>
  <c r="B79" i="1" s="1"/>
  <c r="C76" i="1"/>
  <c r="B76" i="1" s="1"/>
  <c r="C77" i="1"/>
  <c r="B77" i="1" s="1"/>
  <c r="C85" i="1"/>
  <c r="B85" i="1" s="1"/>
  <c r="E21" i="1"/>
  <c r="E22" i="1"/>
  <c r="E23" i="1"/>
  <c r="E88" i="1"/>
  <c r="M88" i="1" s="1"/>
  <c r="C87" i="1"/>
  <c r="C88" i="1"/>
  <c r="C18" i="1"/>
  <c r="D18" i="1" s="1"/>
  <c r="C17" i="1"/>
  <c r="C13" i="1"/>
  <c r="C5" i="1"/>
  <c r="D5" i="1" s="1"/>
  <c r="C4" i="1"/>
  <c r="C21" i="1"/>
  <c r="C20" i="1"/>
  <c r="C23" i="1"/>
  <c r="C22" i="1"/>
  <c r="E10" i="1"/>
  <c r="D10" i="1" s="1"/>
  <c r="L24" i="14" l="1"/>
  <c r="B46" i="14"/>
  <c r="B49" i="14"/>
  <c r="B47" i="14"/>
  <c r="B50" i="14"/>
  <c r="B48" i="14"/>
  <c r="B51" i="14"/>
  <c r="B45" i="14"/>
  <c r="B13" i="14"/>
  <c r="B9" i="14"/>
  <c r="B10" i="14"/>
  <c r="B5" i="14"/>
  <c r="B16" i="14"/>
  <c r="B11" i="14"/>
  <c r="B7" i="14"/>
  <c r="B15" i="14"/>
  <c r="B12" i="14"/>
  <c r="B6" i="14"/>
  <c r="B20" i="14"/>
  <c r="B18" i="14"/>
  <c r="B14" i="14"/>
  <c r="B8" i="14"/>
  <c r="B4" i="14"/>
  <c r="B19" i="14"/>
  <c r="B17" i="14"/>
  <c r="B22" i="14"/>
  <c r="C26" i="14"/>
  <c r="C25" i="14"/>
  <c r="B21" i="14"/>
  <c r="B23" i="14"/>
  <c r="C61" i="16"/>
  <c r="M60" i="16"/>
  <c r="L24" i="16"/>
  <c r="B17" i="16"/>
  <c r="B15" i="16"/>
  <c r="B13" i="16"/>
  <c r="B6" i="16"/>
  <c r="B20" i="16"/>
  <c r="B19" i="16"/>
  <c r="B11" i="16"/>
  <c r="B7" i="16"/>
  <c r="B12" i="16"/>
  <c r="B9" i="16"/>
  <c r="B10" i="16"/>
  <c r="B5" i="16"/>
  <c r="B18" i="16"/>
  <c r="B14" i="16"/>
  <c r="B8" i="16"/>
  <c r="B4" i="16"/>
  <c r="B16" i="16"/>
  <c r="B21" i="16"/>
  <c r="B22" i="16"/>
  <c r="C25" i="16"/>
  <c r="B23" i="16"/>
  <c r="C26" i="16"/>
  <c r="C63" i="15"/>
  <c r="B46" i="15" s="1"/>
  <c r="M62" i="15"/>
  <c r="C69" i="13"/>
  <c r="L69" i="13" s="1"/>
  <c r="M68" i="13"/>
  <c r="L24" i="13"/>
  <c r="B12" i="13"/>
  <c r="B4" i="13"/>
  <c r="B5" i="13"/>
  <c r="B10" i="13"/>
  <c r="B14" i="13"/>
  <c r="B17" i="13"/>
  <c r="B9" i="13"/>
  <c r="B8" i="13"/>
  <c r="B18" i="13"/>
  <c r="B6" i="13"/>
  <c r="B11" i="13"/>
  <c r="B15" i="13"/>
  <c r="B19" i="13"/>
  <c r="B7" i="13"/>
  <c r="B16" i="13"/>
  <c r="B20" i="13"/>
  <c r="B13" i="13"/>
  <c r="C25" i="13"/>
  <c r="B22" i="13"/>
  <c r="B21" i="13"/>
  <c r="B23" i="13"/>
  <c r="C58" i="12"/>
  <c r="M57" i="12"/>
  <c r="C27" i="15"/>
  <c r="L27" i="15" s="1"/>
  <c r="M26" i="15"/>
  <c r="B27" i="12"/>
  <c r="E27" i="12"/>
  <c r="C28" i="12" s="1"/>
  <c r="D21" i="1"/>
  <c r="B88" i="1"/>
  <c r="L88" i="1"/>
  <c r="B87" i="1"/>
  <c r="L87" i="1"/>
  <c r="E69" i="13"/>
  <c r="B69" i="13"/>
  <c r="D22" i="1"/>
  <c r="B27" i="15"/>
  <c r="E27" i="15"/>
  <c r="D77" i="1"/>
  <c r="D85" i="1"/>
  <c r="D13" i="1"/>
  <c r="B69" i="1"/>
  <c r="C74" i="1"/>
  <c r="B74" i="1" s="1"/>
  <c r="D88" i="1"/>
  <c r="D23" i="1"/>
  <c r="B70" i="1"/>
  <c r="E69" i="1"/>
  <c r="D69" i="1" s="1"/>
  <c r="C73" i="1"/>
  <c r="B73" i="1" s="1"/>
  <c r="B56" i="16" l="1"/>
  <c r="B57" i="16"/>
  <c r="L25" i="14"/>
  <c r="E25" i="14"/>
  <c r="M25" i="14" s="1"/>
  <c r="B25" i="14"/>
  <c r="L26" i="14"/>
  <c r="B26" i="14"/>
  <c r="E26" i="14"/>
  <c r="L26" i="16"/>
  <c r="B26" i="16"/>
  <c r="E26" i="16"/>
  <c r="L25" i="16"/>
  <c r="B25" i="16"/>
  <c r="E25" i="16"/>
  <c r="M25" i="16" s="1"/>
  <c r="B52" i="16"/>
  <c r="L61" i="16"/>
  <c r="C62" i="16"/>
  <c r="B59" i="16"/>
  <c r="B53" i="16"/>
  <c r="B50" i="16"/>
  <c r="B43" i="16"/>
  <c r="B60" i="16"/>
  <c r="B58" i="16"/>
  <c r="B55" i="16"/>
  <c r="B46" i="16"/>
  <c r="B48" i="16"/>
  <c r="B51" i="16"/>
  <c r="B47" i="16"/>
  <c r="B45" i="16"/>
  <c r="B44" i="16"/>
  <c r="B54" i="16"/>
  <c r="B49" i="16"/>
  <c r="L63" i="15"/>
  <c r="B45" i="15"/>
  <c r="B47" i="15"/>
  <c r="B48" i="15"/>
  <c r="B52" i="15"/>
  <c r="B49" i="15"/>
  <c r="B50" i="15"/>
  <c r="B60" i="15"/>
  <c r="B57" i="15"/>
  <c r="B58" i="15"/>
  <c r="B55" i="15"/>
  <c r="B51" i="15"/>
  <c r="B61" i="15"/>
  <c r="B53" i="15"/>
  <c r="B54" i="15"/>
  <c r="C64" i="15"/>
  <c r="B59" i="15"/>
  <c r="B56" i="15"/>
  <c r="B62" i="15"/>
  <c r="C70" i="13"/>
  <c r="L70" i="13" s="1"/>
  <c r="M69" i="13"/>
  <c r="B25" i="13"/>
  <c r="L25" i="13"/>
  <c r="C26" i="13"/>
  <c r="E25" i="13"/>
  <c r="M25" i="13" s="1"/>
  <c r="E58" i="12"/>
  <c r="L58" i="12"/>
  <c r="B58" i="12"/>
  <c r="C28" i="15"/>
  <c r="L28" i="15" s="1"/>
  <c r="M27" i="15"/>
  <c r="L28" i="12"/>
  <c r="E28" i="12"/>
  <c r="C29" i="12" s="1"/>
  <c r="B28" i="12"/>
  <c r="M27" i="12"/>
  <c r="E70" i="13"/>
  <c r="B70" i="13"/>
  <c r="E28" i="15"/>
  <c r="B28" i="15"/>
  <c r="B71" i="1"/>
  <c r="D71" i="1"/>
  <c r="B90" i="1"/>
  <c r="B66" i="1"/>
  <c r="B65" i="1"/>
  <c r="B63" i="1"/>
  <c r="B61" i="1"/>
  <c r="B60" i="1"/>
  <c r="B58" i="1"/>
  <c r="B57" i="1"/>
  <c r="B56" i="1"/>
  <c r="B55" i="1"/>
  <c r="B53" i="1"/>
  <c r="B52" i="1"/>
  <c r="B51" i="1"/>
  <c r="B50" i="1"/>
  <c r="B49" i="1"/>
  <c r="B48" i="1"/>
  <c r="B47" i="1"/>
  <c r="B46" i="1"/>
  <c r="B43" i="1"/>
  <c r="B42" i="1"/>
  <c r="B41" i="1"/>
  <c r="B39" i="1"/>
  <c r="B36" i="1"/>
  <c r="B35" i="1"/>
  <c r="B34" i="1"/>
  <c r="B32" i="1"/>
  <c r="B31" i="1"/>
  <c r="B30" i="1"/>
  <c r="B29" i="1"/>
  <c r="B28" i="1"/>
  <c r="B27" i="1"/>
  <c r="C27" i="14" l="1"/>
  <c r="M26" i="14"/>
  <c r="L62" i="16"/>
  <c r="B86" i="16"/>
  <c r="B85" i="16"/>
  <c r="B90" i="16"/>
  <c r="B89" i="16"/>
  <c r="B87" i="16"/>
  <c r="B84" i="16"/>
  <c r="B83" i="16"/>
  <c r="B88" i="16"/>
  <c r="C63" i="16"/>
  <c r="B62" i="16"/>
  <c r="E62" i="16"/>
  <c r="M62" i="16" s="1"/>
  <c r="C27" i="16"/>
  <c r="M26" i="16"/>
  <c r="L64" i="15"/>
  <c r="B64" i="15"/>
  <c r="C65" i="15"/>
  <c r="E64" i="15"/>
  <c r="M64" i="15" s="1"/>
  <c r="C71" i="13"/>
  <c r="L71" i="13" s="1"/>
  <c r="M70" i="13"/>
  <c r="L26" i="13"/>
  <c r="E26" i="13"/>
  <c r="B26" i="13"/>
  <c r="C59" i="12"/>
  <c r="M58" i="12"/>
  <c r="C29" i="15"/>
  <c r="L29" i="15" s="1"/>
  <c r="M28" i="15"/>
  <c r="L29" i="12"/>
  <c r="E29" i="12"/>
  <c r="C30" i="12" s="1"/>
  <c r="B29" i="12"/>
  <c r="M28" i="12"/>
  <c r="E71" i="13"/>
  <c r="B71" i="13"/>
  <c r="B29" i="15"/>
  <c r="D27" i="1"/>
  <c r="B38" i="1"/>
  <c r="B40" i="1"/>
  <c r="B45" i="1"/>
  <c r="B33" i="1"/>
  <c r="E29" i="15" l="1"/>
  <c r="L27" i="14"/>
  <c r="B27" i="14"/>
  <c r="E27" i="14"/>
  <c r="L27" i="16"/>
  <c r="B27" i="16"/>
  <c r="E27" i="16"/>
  <c r="L63" i="16"/>
  <c r="B63" i="16"/>
  <c r="E63" i="16"/>
  <c r="L65" i="15"/>
  <c r="E65" i="15"/>
  <c r="B65" i="15"/>
  <c r="C72" i="13"/>
  <c r="L72" i="13" s="1"/>
  <c r="M71" i="13"/>
  <c r="C27" i="13"/>
  <c r="M26" i="13"/>
  <c r="E59" i="12"/>
  <c r="L59" i="12"/>
  <c r="B59" i="12"/>
  <c r="C30" i="15"/>
  <c r="L30" i="15" s="1"/>
  <c r="M29" i="15"/>
  <c r="M29" i="12"/>
  <c r="L30" i="12"/>
  <c r="B30" i="12"/>
  <c r="E30" i="12"/>
  <c r="M30" i="12" s="1"/>
  <c r="C31" i="12"/>
  <c r="L31" i="12" s="1"/>
  <c r="E72" i="13"/>
  <c r="B72" i="13"/>
  <c r="B30" i="15"/>
  <c r="E30" i="15"/>
  <c r="B91" i="1"/>
  <c r="D90" i="1"/>
  <c r="C28" i="14" l="1"/>
  <c r="M27" i="14"/>
  <c r="C64" i="16"/>
  <c r="M63" i="16"/>
  <c r="C28" i="16"/>
  <c r="M27" i="16"/>
  <c r="C66" i="15"/>
  <c r="M65" i="15"/>
  <c r="C73" i="13"/>
  <c r="L73" i="13" s="1"/>
  <c r="M72" i="13"/>
  <c r="L27" i="13"/>
  <c r="B27" i="13"/>
  <c r="E27" i="13"/>
  <c r="C60" i="12"/>
  <c r="M59" i="12"/>
  <c r="C31" i="15"/>
  <c r="L31" i="15" s="1"/>
  <c r="M30" i="15"/>
  <c r="B31" i="12"/>
  <c r="E31" i="12"/>
  <c r="E73" i="13"/>
  <c r="B73" i="13"/>
  <c r="B92" i="1"/>
  <c r="E31" i="15" l="1"/>
  <c r="B31" i="15"/>
  <c r="L28" i="14"/>
  <c r="B28" i="14"/>
  <c r="E28" i="14"/>
  <c r="L28" i="16"/>
  <c r="B28" i="16"/>
  <c r="E28" i="16"/>
  <c r="L64" i="16"/>
  <c r="E64" i="16"/>
  <c r="B64" i="16"/>
  <c r="L66" i="15"/>
  <c r="B66" i="15"/>
  <c r="E66" i="15"/>
  <c r="C74" i="13"/>
  <c r="L74" i="13" s="1"/>
  <c r="M73" i="13"/>
  <c r="C28" i="13"/>
  <c r="M27" i="13"/>
  <c r="E60" i="12"/>
  <c r="L60" i="12"/>
  <c r="B60" i="12"/>
  <c r="C32" i="15"/>
  <c r="L32" i="15" s="1"/>
  <c r="M31" i="15"/>
  <c r="C32" i="12"/>
  <c r="M31" i="12"/>
  <c r="B75" i="12"/>
  <c r="C75" i="13"/>
  <c r="L75" i="13" s="1"/>
  <c r="B74" i="13"/>
  <c r="E74" i="13"/>
  <c r="M74" i="13" s="1"/>
  <c r="E32" i="15"/>
  <c r="B32" i="15"/>
  <c r="B93" i="1"/>
  <c r="C29" i="14" l="1"/>
  <c r="M28" i="14"/>
  <c r="C65" i="16"/>
  <c r="M64" i="16"/>
  <c r="C29" i="16"/>
  <c r="M28" i="16"/>
  <c r="C67" i="15"/>
  <c r="M66" i="15"/>
  <c r="L28" i="13"/>
  <c r="E28" i="13"/>
  <c r="B28" i="13"/>
  <c r="C61" i="12"/>
  <c r="M60" i="12"/>
  <c r="C33" i="15"/>
  <c r="L33" i="15" s="1"/>
  <c r="M32" i="15"/>
  <c r="L32" i="12"/>
  <c r="B32" i="12"/>
  <c r="E32" i="12"/>
  <c r="B75" i="13"/>
  <c r="E75" i="13"/>
  <c r="B94" i="1"/>
  <c r="E33" i="15" l="1"/>
  <c r="B33" i="15"/>
  <c r="L29" i="14"/>
  <c r="B29" i="14"/>
  <c r="E29" i="14"/>
  <c r="L29" i="16"/>
  <c r="B29" i="16"/>
  <c r="E29" i="16"/>
  <c r="L65" i="16"/>
  <c r="E65" i="16"/>
  <c r="B65" i="16"/>
  <c r="L67" i="15"/>
  <c r="E67" i="15"/>
  <c r="B67" i="15"/>
  <c r="C76" i="13"/>
  <c r="L76" i="13" s="1"/>
  <c r="M75" i="13"/>
  <c r="C29" i="13"/>
  <c r="M28" i="13"/>
  <c r="E61" i="12"/>
  <c r="L61" i="12"/>
  <c r="B61" i="12"/>
  <c r="C34" i="15"/>
  <c r="L34" i="15" s="1"/>
  <c r="M33" i="15"/>
  <c r="C33" i="12"/>
  <c r="M32" i="12"/>
  <c r="E76" i="13"/>
  <c r="B76" i="13"/>
  <c r="B95" i="1"/>
  <c r="B34" i="15" l="1"/>
  <c r="C30" i="14"/>
  <c r="M29" i="14"/>
  <c r="C66" i="16"/>
  <c r="M65" i="16"/>
  <c r="C30" i="16"/>
  <c r="M29" i="16"/>
  <c r="C68" i="15"/>
  <c r="M67" i="15"/>
  <c r="C77" i="13"/>
  <c r="L77" i="13" s="1"/>
  <c r="M76" i="13"/>
  <c r="L29" i="13"/>
  <c r="E29" i="13"/>
  <c r="B29" i="13"/>
  <c r="C62" i="12"/>
  <c r="M61" i="12"/>
  <c r="E34" i="15"/>
  <c r="M34" i="15" s="1"/>
  <c r="L33" i="12"/>
  <c r="B33" i="12"/>
  <c r="E33" i="12"/>
  <c r="E77" i="13"/>
  <c r="B77" i="13"/>
  <c r="B96" i="1"/>
  <c r="C35" i="15" l="1"/>
  <c r="L35" i="15" s="1"/>
  <c r="E35" i="15"/>
  <c r="L30" i="14"/>
  <c r="B30" i="14"/>
  <c r="E30" i="14"/>
  <c r="L30" i="16"/>
  <c r="B30" i="16"/>
  <c r="E30" i="16"/>
  <c r="L66" i="16"/>
  <c r="B66" i="16"/>
  <c r="E66" i="16"/>
  <c r="L68" i="15"/>
  <c r="B68" i="15"/>
  <c r="E68" i="15"/>
  <c r="C78" i="13"/>
  <c r="L78" i="13" s="1"/>
  <c r="M77" i="13"/>
  <c r="C30" i="13"/>
  <c r="M29" i="13"/>
  <c r="E62" i="12"/>
  <c r="L62" i="12"/>
  <c r="B62" i="12"/>
  <c r="B35" i="15"/>
  <c r="C36" i="15"/>
  <c r="L36" i="15" s="1"/>
  <c r="M35" i="15"/>
  <c r="C34" i="12"/>
  <c r="M33" i="12"/>
  <c r="E78" i="13"/>
  <c r="B78" i="13"/>
  <c r="B97" i="1"/>
  <c r="C37" i="15" l="1"/>
  <c r="L37" i="15" s="1"/>
  <c r="C31" i="14"/>
  <c r="M30" i="14"/>
  <c r="C67" i="16"/>
  <c r="M66" i="16"/>
  <c r="C31" i="16"/>
  <c r="M30" i="16"/>
  <c r="C69" i="15"/>
  <c r="M68" i="15"/>
  <c r="C79" i="13"/>
  <c r="L79" i="13" s="1"/>
  <c r="M78" i="13"/>
  <c r="L30" i="13"/>
  <c r="E30" i="13"/>
  <c r="B30" i="13"/>
  <c r="C63" i="12"/>
  <c r="M62" i="12"/>
  <c r="E36" i="15"/>
  <c r="M36" i="15" s="1"/>
  <c r="B36" i="15"/>
  <c r="C35" i="12"/>
  <c r="L34" i="12"/>
  <c r="B34" i="12"/>
  <c r="E34" i="12"/>
  <c r="M34" i="12" s="1"/>
  <c r="E79" i="13"/>
  <c r="B79" i="13"/>
  <c r="E37" i="15"/>
  <c r="B98" i="1"/>
  <c r="B37" i="15" l="1"/>
  <c r="B31" i="14"/>
  <c r="L31" i="14"/>
  <c r="E31" i="14"/>
  <c r="L31" i="16"/>
  <c r="E31" i="16"/>
  <c r="B31" i="16"/>
  <c r="L67" i="16"/>
  <c r="B67" i="16"/>
  <c r="E67" i="16"/>
  <c r="L69" i="15"/>
  <c r="E69" i="15"/>
  <c r="B69" i="15"/>
  <c r="C80" i="13"/>
  <c r="L80" i="13" s="1"/>
  <c r="M79" i="13"/>
  <c r="C31" i="13"/>
  <c r="M30" i="13"/>
  <c r="E63" i="12"/>
  <c r="L63" i="12"/>
  <c r="B63" i="12"/>
  <c r="C38" i="15"/>
  <c r="L38" i="15" s="1"/>
  <c r="M37" i="15"/>
  <c r="L35" i="12"/>
  <c r="B35" i="12"/>
  <c r="E35" i="12"/>
  <c r="E80" i="13"/>
  <c r="B80" i="13"/>
  <c r="E38" i="15"/>
  <c r="B99" i="1"/>
  <c r="B38" i="15" l="1"/>
  <c r="C32" i="14"/>
  <c r="M31" i="14"/>
  <c r="C68" i="16"/>
  <c r="M67" i="16"/>
  <c r="C32" i="16"/>
  <c r="M31" i="16"/>
  <c r="C70" i="15"/>
  <c r="M69" i="15"/>
  <c r="C81" i="13"/>
  <c r="L81" i="13" s="1"/>
  <c r="M80" i="13"/>
  <c r="L31" i="13"/>
  <c r="E31" i="13"/>
  <c r="B31" i="13"/>
  <c r="C64" i="12"/>
  <c r="M63" i="12"/>
  <c r="C39" i="15"/>
  <c r="L39" i="15" s="1"/>
  <c r="M38" i="15"/>
  <c r="C36" i="12"/>
  <c r="M35" i="12"/>
  <c r="E81" i="13"/>
  <c r="B81" i="13"/>
  <c r="B39" i="15"/>
  <c r="E39" i="15"/>
  <c r="B100" i="1"/>
  <c r="L32" i="14" l="1"/>
  <c r="E32" i="14"/>
  <c r="B32" i="14"/>
  <c r="L32" i="16"/>
  <c r="B32" i="16"/>
  <c r="E32" i="16"/>
  <c r="L68" i="16"/>
  <c r="E68" i="16"/>
  <c r="B68" i="16"/>
  <c r="L70" i="15"/>
  <c r="B70" i="15"/>
  <c r="E70" i="15"/>
  <c r="C82" i="13"/>
  <c r="L82" i="13" s="1"/>
  <c r="M81" i="13"/>
  <c r="C32" i="13"/>
  <c r="M31" i="13"/>
  <c r="E64" i="12"/>
  <c r="L64" i="12"/>
  <c r="B64" i="12"/>
  <c r="C40" i="15"/>
  <c r="L40" i="15" s="1"/>
  <c r="M39" i="15"/>
  <c r="L36" i="12"/>
  <c r="E36" i="12"/>
  <c r="B36" i="12"/>
  <c r="E82" i="13"/>
  <c r="B82" i="13"/>
  <c r="B101" i="1"/>
  <c r="C33" i="14" l="1"/>
  <c r="M32" i="14"/>
  <c r="C69" i="16"/>
  <c r="M68" i="16"/>
  <c r="C33" i="16"/>
  <c r="M32" i="16"/>
  <c r="C71" i="15"/>
  <c r="M70" i="15"/>
  <c r="C83" i="13"/>
  <c r="L83" i="13" s="1"/>
  <c r="M82" i="13"/>
  <c r="L32" i="13"/>
  <c r="E32" i="13"/>
  <c r="B32" i="13"/>
  <c r="C65" i="12"/>
  <c r="M64" i="12"/>
  <c r="B40" i="15"/>
  <c r="E40" i="15"/>
  <c r="C41" i="15" s="1"/>
  <c r="C37" i="12"/>
  <c r="M36" i="12"/>
  <c r="E83" i="13"/>
  <c r="B83" i="13"/>
  <c r="L33" i="14" l="1"/>
  <c r="E33" i="14"/>
  <c r="B33" i="14"/>
  <c r="L33" i="16"/>
  <c r="E33" i="16"/>
  <c r="B33" i="16"/>
  <c r="L69" i="16"/>
  <c r="E69" i="16"/>
  <c r="B69" i="16"/>
  <c r="L71" i="15"/>
  <c r="B71" i="15"/>
  <c r="E71" i="15"/>
  <c r="B84" i="13"/>
  <c r="M83" i="13"/>
  <c r="C33" i="13"/>
  <c r="M32" i="13"/>
  <c r="E65" i="12"/>
  <c r="L65" i="12"/>
  <c r="B65" i="12"/>
  <c r="L41" i="15"/>
  <c r="B41" i="15"/>
  <c r="M40" i="15"/>
  <c r="E41" i="15"/>
  <c r="M41" i="15" s="1"/>
  <c r="L37" i="12"/>
  <c r="E37" i="12"/>
  <c r="B37" i="12"/>
  <c r="B103" i="1"/>
  <c r="C34" i="14" l="1"/>
  <c r="M33" i="14"/>
  <c r="C70" i="16"/>
  <c r="M69" i="16"/>
  <c r="C34" i="16"/>
  <c r="M33" i="16"/>
  <c r="C72" i="15"/>
  <c r="M71" i="15"/>
  <c r="L33" i="13"/>
  <c r="E33" i="13"/>
  <c r="B33" i="13"/>
  <c r="C66" i="12"/>
  <c r="M65" i="12"/>
  <c r="L44" i="15"/>
  <c r="C42" i="15"/>
  <c r="L42" i="15" s="1"/>
  <c r="C38" i="12"/>
  <c r="M37" i="12"/>
  <c r="B44" i="15"/>
  <c r="B104" i="1"/>
  <c r="L34" i="14" l="1"/>
  <c r="B34" i="14"/>
  <c r="E34" i="14"/>
  <c r="L34" i="16"/>
  <c r="B34" i="16"/>
  <c r="E34" i="16"/>
  <c r="L70" i="16"/>
  <c r="B70" i="16"/>
  <c r="E70" i="16"/>
  <c r="L72" i="15"/>
  <c r="E72" i="15"/>
  <c r="B72" i="15"/>
  <c r="C34" i="13"/>
  <c r="M33" i="13"/>
  <c r="L66" i="12"/>
  <c r="C67" i="12"/>
  <c r="B66" i="12"/>
  <c r="E66" i="12"/>
  <c r="B42" i="15"/>
  <c r="E42" i="15"/>
  <c r="C43" i="15" s="1"/>
  <c r="L43" i="15" s="1"/>
  <c r="L38" i="12"/>
  <c r="B38" i="12"/>
  <c r="E38" i="12"/>
  <c r="B105" i="1"/>
  <c r="M42" i="15" l="1"/>
  <c r="C35" i="14"/>
  <c r="M34" i="14"/>
  <c r="C71" i="16"/>
  <c r="M70" i="16"/>
  <c r="C35" i="16"/>
  <c r="M34" i="16"/>
  <c r="C73" i="15"/>
  <c r="M72" i="15"/>
  <c r="L34" i="13"/>
  <c r="B34" i="13"/>
  <c r="E34" i="13"/>
  <c r="E67" i="12"/>
  <c r="M66" i="12"/>
  <c r="B67" i="12"/>
  <c r="L67" i="12"/>
  <c r="B43" i="15"/>
  <c r="E43" i="15"/>
  <c r="M43" i="15" s="1"/>
  <c r="C39" i="12"/>
  <c r="M38" i="12"/>
  <c r="B106" i="1"/>
  <c r="L35" i="14" l="1"/>
  <c r="B35" i="14"/>
  <c r="E35" i="14"/>
  <c r="M35" i="14" s="1"/>
  <c r="C36" i="14"/>
  <c r="L35" i="16"/>
  <c r="B35" i="16"/>
  <c r="E35" i="16"/>
  <c r="L71" i="16"/>
  <c r="B71" i="16"/>
  <c r="E71" i="16"/>
  <c r="L73" i="15"/>
  <c r="E73" i="15"/>
  <c r="B73" i="15"/>
  <c r="C35" i="13"/>
  <c r="M34" i="13"/>
  <c r="C68" i="12"/>
  <c r="M67" i="12"/>
  <c r="L39" i="12"/>
  <c r="E39" i="12"/>
  <c r="B39" i="12"/>
  <c r="B107" i="1"/>
  <c r="L36" i="14" l="1"/>
  <c r="B36" i="14"/>
  <c r="E36" i="14"/>
  <c r="C72" i="16"/>
  <c r="M71" i="16"/>
  <c r="C36" i="16"/>
  <c r="M35" i="16"/>
  <c r="C74" i="15"/>
  <c r="M73" i="15"/>
  <c r="L35" i="13"/>
  <c r="B35" i="13"/>
  <c r="E35" i="13"/>
  <c r="M35" i="13" s="1"/>
  <c r="C36" i="13"/>
  <c r="L68" i="12"/>
  <c r="E68" i="12"/>
  <c r="B68" i="12"/>
  <c r="B44" i="14"/>
  <c r="L44" i="14"/>
  <c r="M39" i="12"/>
  <c r="B108" i="1"/>
  <c r="C37" i="14" l="1"/>
  <c r="M36" i="14"/>
  <c r="L36" i="16"/>
  <c r="B36" i="16"/>
  <c r="C37" i="16"/>
  <c r="E36" i="16"/>
  <c r="M36" i="16" s="1"/>
  <c r="L72" i="16"/>
  <c r="E72" i="16"/>
  <c r="B72" i="16"/>
  <c r="L74" i="15"/>
  <c r="E74" i="15"/>
  <c r="B74" i="15"/>
  <c r="L36" i="13"/>
  <c r="E36" i="13"/>
  <c r="B36" i="13"/>
  <c r="C69" i="12"/>
  <c r="M68" i="12"/>
  <c r="L84" i="15"/>
  <c r="B84" i="15"/>
  <c r="L40" i="12"/>
  <c r="B109" i="1"/>
  <c r="L37" i="14" l="1"/>
  <c r="E37" i="14"/>
  <c r="B37" i="14"/>
  <c r="C73" i="16"/>
  <c r="M72" i="16"/>
  <c r="L37" i="16"/>
  <c r="E37" i="16"/>
  <c r="B37" i="16"/>
  <c r="C75" i="15"/>
  <c r="M74" i="15"/>
  <c r="C37" i="13"/>
  <c r="M36" i="13"/>
  <c r="L69" i="12"/>
  <c r="E69" i="12"/>
  <c r="B69" i="12"/>
  <c r="B110" i="1"/>
  <c r="C38" i="14" l="1"/>
  <c r="M37" i="14"/>
  <c r="C38" i="16"/>
  <c r="M37" i="16"/>
  <c r="L73" i="16"/>
  <c r="E73" i="16"/>
  <c r="M73" i="16" s="1"/>
  <c r="C74" i="16"/>
  <c r="B73" i="16"/>
  <c r="L75" i="15"/>
  <c r="B75" i="15"/>
  <c r="E75" i="15"/>
  <c r="M75" i="15" s="1"/>
  <c r="C76" i="15"/>
  <c r="L37" i="13"/>
  <c r="E37" i="13"/>
  <c r="B37" i="13"/>
  <c r="C70" i="12"/>
  <c r="M69" i="12"/>
  <c r="B111" i="1"/>
  <c r="L38" i="14" l="1"/>
  <c r="E38" i="14"/>
  <c r="B38" i="14"/>
  <c r="L74" i="16"/>
  <c r="E74" i="16"/>
  <c r="B74" i="16"/>
  <c r="L38" i="16"/>
  <c r="B38" i="16"/>
  <c r="E38" i="16"/>
  <c r="L76" i="15"/>
  <c r="B76" i="15"/>
  <c r="E76" i="15"/>
  <c r="C38" i="13"/>
  <c r="M37" i="13"/>
  <c r="L70" i="12"/>
  <c r="E70" i="12"/>
  <c r="B70" i="12"/>
  <c r="B112" i="1"/>
  <c r="C39" i="14" l="1"/>
  <c r="M38" i="14"/>
  <c r="C39" i="16"/>
  <c r="M38" i="16"/>
  <c r="C75" i="16"/>
  <c r="M74" i="16"/>
  <c r="C77" i="15"/>
  <c r="M76" i="15"/>
  <c r="L38" i="13"/>
  <c r="E38" i="13"/>
  <c r="B38" i="13"/>
  <c r="C71" i="12"/>
  <c r="M70" i="12"/>
  <c r="L39" i="14" l="1"/>
  <c r="B39" i="14"/>
  <c r="E39" i="14"/>
  <c r="L75" i="16"/>
  <c r="B75" i="16"/>
  <c r="E75" i="16"/>
  <c r="L39" i="16"/>
  <c r="B39" i="16"/>
  <c r="E39" i="16"/>
  <c r="L77" i="15"/>
  <c r="E77" i="15"/>
  <c r="B77" i="15"/>
  <c r="C39" i="13"/>
  <c r="M38" i="13"/>
  <c r="L71" i="12"/>
  <c r="E71" i="12"/>
  <c r="B71" i="12"/>
  <c r="C40" i="14" l="1"/>
  <c r="M39" i="14"/>
  <c r="C40" i="16"/>
  <c r="M39" i="16"/>
  <c r="C76" i="16"/>
  <c r="M75" i="16"/>
  <c r="C78" i="15"/>
  <c r="M77" i="15"/>
  <c r="L39" i="13"/>
  <c r="B39" i="13"/>
  <c r="E39" i="13"/>
  <c r="C72" i="12"/>
  <c r="M71" i="12"/>
  <c r="L40" i="14" l="1"/>
  <c r="E40" i="14"/>
  <c r="B40" i="14"/>
  <c r="L76" i="16"/>
  <c r="B76" i="16"/>
  <c r="E76" i="16"/>
  <c r="L40" i="16"/>
  <c r="B40" i="16"/>
  <c r="E40" i="16"/>
  <c r="L78" i="15"/>
  <c r="B78" i="15"/>
  <c r="E78" i="15"/>
  <c r="C40" i="13"/>
  <c r="M39" i="13"/>
  <c r="L72" i="12"/>
  <c r="E72" i="12"/>
  <c r="B72" i="12"/>
  <c r="B42" i="16"/>
  <c r="L42" i="16"/>
  <c r="C41" i="14" l="1"/>
  <c r="M40" i="14"/>
  <c r="C41" i="16"/>
  <c r="M40" i="16"/>
  <c r="C77" i="16"/>
  <c r="M76" i="16"/>
  <c r="C79" i="15"/>
  <c r="M78" i="15"/>
  <c r="L40" i="13"/>
  <c r="B40" i="13"/>
  <c r="E40" i="13"/>
  <c r="C73" i="12"/>
  <c r="M72" i="12"/>
  <c r="L41" i="14" l="1"/>
  <c r="E41" i="14"/>
  <c r="B41" i="14"/>
  <c r="L77" i="16"/>
  <c r="E77" i="16"/>
  <c r="B77" i="16"/>
  <c r="L41" i="16"/>
  <c r="B41" i="16"/>
  <c r="E41" i="16"/>
  <c r="M41" i="16" s="1"/>
  <c r="L79" i="15"/>
  <c r="B79" i="15"/>
  <c r="E79" i="15"/>
  <c r="C41" i="13"/>
  <c r="M40" i="13"/>
  <c r="E73" i="12"/>
  <c r="L73" i="12"/>
  <c r="B73" i="12"/>
  <c r="C42" i="14" l="1"/>
  <c r="M41" i="14"/>
  <c r="C78" i="16"/>
  <c r="M77" i="16"/>
  <c r="C80" i="15"/>
  <c r="M79" i="15"/>
  <c r="L41" i="13"/>
  <c r="E41" i="13"/>
  <c r="B41" i="13"/>
  <c r="M73" i="12"/>
  <c r="C74" i="12"/>
  <c r="B42" i="14" l="1"/>
  <c r="E42" i="14"/>
  <c r="L42" i="14"/>
  <c r="L78" i="16"/>
  <c r="E78" i="16"/>
  <c r="B78" i="16"/>
  <c r="L80" i="15"/>
  <c r="E80" i="15"/>
  <c r="B80" i="15"/>
  <c r="C42" i="13"/>
  <c r="M41" i="13"/>
  <c r="L74" i="12"/>
  <c r="E74" i="12"/>
  <c r="M74" i="12" s="1"/>
  <c r="B74" i="12"/>
  <c r="M42" i="14" l="1"/>
  <c r="C43" i="14"/>
  <c r="C79" i="16"/>
  <c r="M78" i="16"/>
  <c r="C81" i="15"/>
  <c r="M80" i="15"/>
  <c r="L42" i="13"/>
  <c r="E42" i="13"/>
  <c r="B42" i="13"/>
  <c r="E43" i="14" l="1"/>
  <c r="M43" i="14" s="1"/>
  <c r="L43" i="14"/>
  <c r="B43" i="14"/>
  <c r="L79" i="16"/>
  <c r="B79" i="16"/>
  <c r="E79" i="16"/>
  <c r="L81" i="15"/>
  <c r="E81" i="15"/>
  <c r="B81" i="15"/>
  <c r="C43" i="13"/>
  <c r="M42" i="13"/>
  <c r="B44" i="13"/>
  <c r="L44" i="13"/>
  <c r="C80" i="16" l="1"/>
  <c r="M79" i="16"/>
  <c r="C82" i="15"/>
  <c r="M81" i="15"/>
  <c r="L43" i="13"/>
  <c r="E43" i="13"/>
  <c r="M43" i="13" s="1"/>
  <c r="B43" i="13"/>
  <c r="L80" i="16" l="1"/>
  <c r="B80" i="16"/>
  <c r="E80" i="16"/>
  <c r="L82" i="15"/>
  <c r="B82" i="15"/>
  <c r="E82" i="15"/>
  <c r="C81" i="16" l="1"/>
  <c r="M80" i="16"/>
  <c r="M82" i="15"/>
  <c r="C83" i="15"/>
  <c r="L81" i="16" l="1"/>
  <c r="E81" i="16"/>
  <c r="B81" i="16"/>
  <c r="L83" i="15"/>
  <c r="B83" i="15"/>
  <c r="E83" i="15"/>
  <c r="M83" i="15" s="1"/>
  <c r="B82" i="16" l="1"/>
  <c r="M81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tc={AACDF7B5-F5CA-44C7-91E8-C21E22A2C173}</author>
  </authors>
  <commentList>
    <comment ref="F12" authorId="0" shapeId="0" xr:uid="{AACDF7B5-F5CA-44C7-91E8-C21E22A2C173}">
      <text>
        <t>[Threaded comment]
Your version of Excel allows you to read this threaded comment; however, any edits to it will get removed if the file is opened in a newer version of Excel. Learn more: https://go.microsoft.com/fwlink/?linkid=870924
Comment:
    30mins before gates</t>
      </text>
    </comment>
  </commentList>
</comments>
</file>

<file path=xl/sharedStrings.xml><?xml version="1.0" encoding="utf-8"?>
<sst xmlns="http://schemas.openxmlformats.org/spreadsheetml/2006/main" count="7712" uniqueCount="1089">
  <si>
    <t>Zero +/-</t>
  </si>
  <si>
    <t>To denote if pre or post zero time</t>
  </si>
  <si>
    <t xml:space="preserve">Zero </t>
  </si>
  <si>
    <t>The duration of time to or from zero time</t>
  </si>
  <si>
    <t>Start</t>
  </si>
  <si>
    <t>Start time of the activity</t>
  </si>
  <si>
    <t>Duration</t>
  </si>
  <si>
    <t>Duration of the activity</t>
  </si>
  <si>
    <t>Finish</t>
  </si>
  <si>
    <t>Finish time of the activity</t>
  </si>
  <si>
    <t xml:space="preserve">Activity/ Task Description </t>
  </si>
  <si>
    <t>Location</t>
  </si>
  <si>
    <t xml:space="preserve">The location on venue where the activity will take place </t>
  </si>
  <si>
    <t>Location Code</t>
  </si>
  <si>
    <t>For FOP only. Venues with multiple FOP, or a contingency FOP on the RTS system, the location code from common codes should be input here. If you only have one FOP you do not need to enter a location code</t>
  </si>
  <si>
    <t>Competition Venue</t>
  </si>
  <si>
    <t>The competition venue code</t>
  </si>
  <si>
    <t>Session ID</t>
  </si>
  <si>
    <t>From the master compeititon schedule. Format should be sport code/day of the games/session number eg CTR0101</t>
  </si>
  <si>
    <t>FOR TEAM SPORTS ONLY</t>
  </si>
  <si>
    <t>CGA Code</t>
  </si>
  <si>
    <t>SEQ CGA code of first named team. CGA codes can be found on the SEQ CGA Codes tab, in column D.</t>
  </si>
  <si>
    <t>CGA Name</t>
  </si>
  <si>
    <t>CGA name of first named team. CGA names can be found on the SEQ CGA Codes tab, in column B.</t>
  </si>
  <si>
    <t>SEQ CGA code of second named team. CGA codes can be found on the SEQ CGA Codes tab, in column D.</t>
  </si>
  <si>
    <t>CGA name of second named team. CGA names can be found on the SEQ CGA Codes tab, in column B.</t>
  </si>
  <si>
    <t>Public Schedule</t>
  </si>
  <si>
    <t>RSC</t>
  </si>
  <si>
    <t xml:space="preserve">The event unit code listed in column A of common codes </t>
  </si>
  <si>
    <t>The start time that should appear on the public schedule - a formula can be used to link the session start time to this column. If you enter a start time, you must enter an end time.</t>
  </si>
  <si>
    <t>End</t>
  </si>
  <si>
    <t xml:space="preserve">The end time that should appear on the public schedule - a formula can be used to link the session end time to this column. If you enter an end time, you must enter a start time. </t>
  </si>
  <si>
    <t>Hide Time</t>
  </si>
  <si>
    <t>Enter 'Yes' if the times should not be inlcuded on the public schedule</t>
  </si>
  <si>
    <t>Stakeholders</t>
  </si>
  <si>
    <t>BRD</t>
  </si>
  <si>
    <t>Mark the cell with an X if this is an activity that BRD need to be aware of</t>
  </si>
  <si>
    <t>RTS</t>
  </si>
  <si>
    <t>Mark the cell with an X if this is an activity that RTS need to be aware of</t>
  </si>
  <si>
    <t>SPP</t>
  </si>
  <si>
    <t>Mark the cell with an X if this is an activity that SPP need to be aware of</t>
  </si>
  <si>
    <t>VMA</t>
  </si>
  <si>
    <t>Mark the cell with an X if this is an activity that VMA need to be aware of</t>
  </si>
  <si>
    <t>Core Activities</t>
  </si>
  <si>
    <t>Coding</t>
  </si>
  <si>
    <t>Sport Competition workforce start to arrive at venue</t>
  </si>
  <si>
    <t>FOP and Athlete Area Inspections</t>
  </si>
  <si>
    <t xml:space="preserve">Sport team briefing </t>
  </si>
  <si>
    <t>First athlete arrival</t>
  </si>
  <si>
    <t>Athlete warm up commences</t>
  </si>
  <si>
    <t>Venue Briefing</t>
  </si>
  <si>
    <t>Technical Officials arrive</t>
  </si>
  <si>
    <t>Technical Officials briefing</t>
  </si>
  <si>
    <t>Submit PEAPs to ECR</t>
  </si>
  <si>
    <t>Athlete warm up concludes</t>
  </si>
  <si>
    <t>SPP build up starts</t>
  </si>
  <si>
    <t>FOP Lockdown</t>
  </si>
  <si>
    <t>Start of ticketed session</t>
  </si>
  <si>
    <t>Green fill and bold font</t>
  </si>
  <si>
    <t>Introduction of Technical Officials</t>
  </si>
  <si>
    <t>Competition starts</t>
  </si>
  <si>
    <t>Line items for each event unit (including breakdown of each heat/ round/ rotation/ bout/ contest/ match medal ceremonies)</t>
  </si>
  <si>
    <t>End of ticketed session</t>
  </si>
  <si>
    <t>Red fill and bold font</t>
  </si>
  <si>
    <t>Technical Official de-brief</t>
  </si>
  <si>
    <t>Technical Officials depart</t>
  </si>
  <si>
    <t>Athlete warm down concludes</t>
  </si>
  <si>
    <t>Last athlete bus leaves venue</t>
  </si>
  <si>
    <t>Check all athletes have left Doping Control</t>
  </si>
  <si>
    <t>Sport Competition debreif</t>
  </si>
  <si>
    <t>End of day report to the SOC</t>
  </si>
  <si>
    <t>Sport Competition workforce leave site</t>
  </si>
  <si>
    <t>Additional items (more sport specific)</t>
  </si>
  <si>
    <t>Coin toss</t>
  </si>
  <si>
    <t>Protest deadline</t>
  </si>
  <si>
    <t>FOP maintenance timings</t>
  </si>
  <si>
    <t>Half time</t>
  </si>
  <si>
    <t>Prepare ice baths</t>
  </si>
  <si>
    <t>Clean ice baths</t>
  </si>
  <si>
    <t>Media access to mixed zone open</t>
  </si>
  <si>
    <t>Weigh-in start</t>
  </si>
  <si>
    <t>Weigh-in complete</t>
  </si>
  <si>
    <t>Replemish ice</t>
  </si>
  <si>
    <t xml:space="preserve">On venue meals open </t>
  </si>
  <si>
    <t>On venue meals closed</t>
  </si>
  <si>
    <t>Key competition form timings</t>
  </si>
  <si>
    <t xml:space="preserve">Call room/athlete marshalling/tunnel report time </t>
  </si>
  <si>
    <t>Sport Info desk open</t>
  </si>
  <si>
    <t>Sport Info desk closed</t>
  </si>
  <si>
    <t>Set up medal ceremony podium</t>
  </si>
  <si>
    <t>Equipment transition</t>
  </si>
  <si>
    <t>Convoy in position</t>
  </si>
  <si>
    <t>Saftey car departs for course inspection</t>
  </si>
  <si>
    <t>Athlete uniform check</t>
  </si>
  <si>
    <t>Participating CGAs at B2022 Commonwealth Games</t>
  </si>
  <si>
    <t>Description</t>
  </si>
  <si>
    <t>CNT</t>
  </si>
  <si>
    <t>CGA</t>
  </si>
  <si>
    <t>Anguilla</t>
  </si>
  <si>
    <t>CAR</t>
  </si>
  <si>
    <t>AIA</t>
  </si>
  <si>
    <t>Antigua &amp; Barbuda</t>
  </si>
  <si>
    <t>ANT</t>
  </si>
  <si>
    <t>Australia</t>
  </si>
  <si>
    <t>OCE</t>
  </si>
  <si>
    <t>AUS</t>
  </si>
  <si>
    <t>Bahamas</t>
  </si>
  <si>
    <t>AME</t>
  </si>
  <si>
    <t>BAH</t>
  </si>
  <si>
    <t>Bangladesh</t>
  </si>
  <si>
    <t>ASI</t>
  </si>
  <si>
    <t>BAN</t>
  </si>
  <si>
    <t>Barbados</t>
  </si>
  <si>
    <t>BAR</t>
  </si>
  <si>
    <t>Bermuda</t>
  </si>
  <si>
    <t>BER</t>
  </si>
  <si>
    <t>Belize</t>
  </si>
  <si>
    <t>BIZ</t>
  </si>
  <si>
    <t>Botswana</t>
  </si>
  <si>
    <t>AFR</t>
  </si>
  <si>
    <t>BOT</t>
  </si>
  <si>
    <t>Brunei Darussalam</t>
  </si>
  <si>
    <t>BRU</t>
  </si>
  <si>
    <t>Canada</t>
  </si>
  <si>
    <t>CAN</t>
  </si>
  <si>
    <t>Cayman Islands</t>
  </si>
  <si>
    <t>CAY</t>
  </si>
  <si>
    <t>Cameroon</t>
  </si>
  <si>
    <t>CMR</t>
  </si>
  <si>
    <t>Cook Islands</t>
  </si>
  <si>
    <t>COK</t>
  </si>
  <si>
    <t>Cyprus</t>
  </si>
  <si>
    <t>EUR</t>
  </si>
  <si>
    <t>CYP</t>
  </si>
  <si>
    <t>Dominica</t>
  </si>
  <si>
    <t>DMA</t>
  </si>
  <si>
    <t>England</t>
  </si>
  <si>
    <t>ENG</t>
  </si>
  <si>
    <t>Fiji</t>
  </si>
  <si>
    <t>FIJ</t>
  </si>
  <si>
    <t>Falkland Islands</t>
  </si>
  <si>
    <t>FLK</t>
  </si>
  <si>
    <t>Gambia</t>
  </si>
  <si>
    <t>GAM</t>
  </si>
  <si>
    <t>Guernsey</t>
  </si>
  <si>
    <t>GGY</t>
  </si>
  <si>
    <t>Ghana</t>
  </si>
  <si>
    <t>GHA</t>
  </si>
  <si>
    <t>Gibraltar</t>
  </si>
  <si>
    <t>GIB</t>
  </si>
  <si>
    <t>Grenada</t>
  </si>
  <si>
    <t>GRN</t>
  </si>
  <si>
    <t>Guyana</t>
  </si>
  <si>
    <t>GUY</t>
  </si>
  <si>
    <t>India</t>
  </si>
  <si>
    <t>IND</t>
  </si>
  <si>
    <t>Isle of Man</t>
  </si>
  <si>
    <t>IOM</t>
  </si>
  <si>
    <t>British Virgin Islands</t>
  </si>
  <si>
    <t>IVB</t>
  </si>
  <si>
    <t>Jamaica</t>
  </si>
  <si>
    <t>JAM</t>
  </si>
  <si>
    <t>Jersey</t>
  </si>
  <si>
    <t>JEY</t>
  </si>
  <si>
    <t>Kenya</t>
  </si>
  <si>
    <t>KEN</t>
  </si>
  <si>
    <t>Kiribati</t>
  </si>
  <si>
    <t>KIR</t>
  </si>
  <si>
    <t>St Lucia</t>
  </si>
  <si>
    <t>LCA</t>
  </si>
  <si>
    <t>Lesotho</t>
  </si>
  <si>
    <t>LES</t>
  </si>
  <si>
    <t>Malaysia</t>
  </si>
  <si>
    <t>MAS</t>
  </si>
  <si>
    <t>Malawi</t>
  </si>
  <si>
    <t>MAW</t>
  </si>
  <si>
    <t>Maldives</t>
  </si>
  <si>
    <t>MDV</t>
  </si>
  <si>
    <t>Malta</t>
  </si>
  <si>
    <t>MLT</t>
  </si>
  <si>
    <t>Mozambique</t>
  </si>
  <si>
    <t>MOZ</t>
  </si>
  <si>
    <t>Mauritius</t>
  </si>
  <si>
    <t>MRI</t>
  </si>
  <si>
    <t>Montserrat</t>
  </si>
  <si>
    <t>MSR</t>
  </si>
  <si>
    <t>Namibia</t>
  </si>
  <si>
    <t>NAM</t>
  </si>
  <si>
    <t>Norfolk Island</t>
  </si>
  <si>
    <t>NFK</t>
  </si>
  <si>
    <t>Nigeria</t>
  </si>
  <si>
    <t>NGR</t>
  </si>
  <si>
    <t>Northern Ireland</t>
  </si>
  <si>
    <t>NIR</t>
  </si>
  <si>
    <t>Niue</t>
  </si>
  <si>
    <t>NIU</t>
  </si>
  <si>
    <t>Nauru</t>
  </si>
  <si>
    <t>NRU</t>
  </si>
  <si>
    <t>New Zealand</t>
  </si>
  <si>
    <t>NZL</t>
  </si>
  <si>
    <t>Pakistan</t>
  </si>
  <si>
    <t>PAK</t>
  </si>
  <si>
    <t>Papua New Guinea</t>
  </si>
  <si>
    <t>PNG</t>
  </si>
  <si>
    <t>South Africa</t>
  </si>
  <si>
    <t>RSA</t>
  </si>
  <si>
    <t>Rwanda</t>
  </si>
  <si>
    <t>RWA</t>
  </si>
  <si>
    <t>Samoa</t>
  </si>
  <si>
    <t>SAM</t>
  </si>
  <si>
    <t>Scotland</t>
  </si>
  <si>
    <t>SCO</t>
  </si>
  <si>
    <t>Seychelles</t>
  </si>
  <si>
    <t>SEY</t>
  </si>
  <si>
    <t>Singapore</t>
  </si>
  <si>
    <t>SGP</t>
  </si>
  <si>
    <t>St Helena</t>
  </si>
  <si>
    <t>SHN</t>
  </si>
  <si>
    <t>St Kitts &amp; Nevis</t>
  </si>
  <si>
    <t>SKN</t>
  </si>
  <si>
    <t>Sierra Leone</t>
  </si>
  <si>
    <t>SLE</t>
  </si>
  <si>
    <t>Solomon Islands</t>
  </si>
  <si>
    <t>SOL</t>
  </si>
  <si>
    <t>Sri Lanka</t>
  </si>
  <si>
    <t>SRI</t>
  </si>
  <si>
    <t>St Vincent &amp; The Grenadines</t>
  </si>
  <si>
    <t>SVG</t>
  </si>
  <si>
    <t>Eswatini</t>
  </si>
  <si>
    <t>SWZ</t>
  </si>
  <si>
    <t>Tanzania</t>
  </si>
  <si>
    <t>TAN</t>
  </si>
  <si>
    <t>Turks &amp; Caicos Islands</t>
  </si>
  <si>
    <t>TCA</t>
  </si>
  <si>
    <t>Tonga</t>
  </si>
  <si>
    <t>TGA</t>
  </si>
  <si>
    <t>Trinidad &amp; Tobago</t>
  </si>
  <si>
    <t>TTO</t>
  </si>
  <si>
    <t>Tuvalu</t>
  </si>
  <si>
    <t>TUV</t>
  </si>
  <si>
    <t>Uganda</t>
  </si>
  <si>
    <t>UGA</t>
  </si>
  <si>
    <t>Vanuatu</t>
  </si>
  <si>
    <t>VAN</t>
  </si>
  <si>
    <t>Wales</t>
  </si>
  <si>
    <t>WAL</t>
  </si>
  <si>
    <t>Zambia</t>
  </si>
  <si>
    <t>ZAM</t>
  </si>
  <si>
    <t>If required for your sport</t>
  </si>
  <si>
    <t>Birmingham 2022 DCAS - AQUATICS - SWIMMING AND PARA SWIMMING - FRIDAY 29 JULY 2022</t>
  </si>
  <si>
    <t>Time</t>
  </si>
  <si>
    <t>SCM</t>
  </si>
  <si>
    <t>-</t>
  </si>
  <si>
    <t>Sport Competition Workforce on site</t>
  </si>
  <si>
    <t>SAC</t>
  </si>
  <si>
    <t>YES</t>
  </si>
  <si>
    <t>X</t>
  </si>
  <si>
    <t>FOP, Diving Dryland and Athlete Area Inspection (Safety &amp; Equipment)</t>
  </si>
  <si>
    <t xml:space="preserve">First Sport Volunteers on site (Athlete Services/SID Team Leaders) </t>
  </si>
  <si>
    <t xml:space="preserve">First Athlete transport arrival </t>
  </si>
  <si>
    <t xml:space="preserve">DIV Dryland Athlete Training commences </t>
  </si>
  <si>
    <t>DIV DRYDIVE</t>
  </si>
  <si>
    <t>Venue team briefing</t>
  </si>
  <si>
    <t>SWM Training Pool commences</t>
  </si>
  <si>
    <t>SWM</t>
  </si>
  <si>
    <t>DIV Pool Athlete Training commences</t>
  </si>
  <si>
    <t>DIV FOP</t>
  </si>
  <si>
    <t>Sport team briefing</t>
  </si>
  <si>
    <t>SWM Pool Athlete Warm Up commences</t>
  </si>
  <si>
    <t>SWM FOP</t>
  </si>
  <si>
    <t xml:space="preserve">Technical Delegate &amp; CRS arrival </t>
  </si>
  <si>
    <t>TO LOUNGE</t>
  </si>
  <si>
    <t xml:space="preserve">Technical Officials arrival </t>
  </si>
  <si>
    <t>DIV Pool Athlete Training concludes</t>
  </si>
  <si>
    <t>SWM Pool Athlete Warm Up concludes</t>
  </si>
  <si>
    <t>Technical Officials Parade</t>
  </si>
  <si>
    <t>SWM0101</t>
  </si>
  <si>
    <t>Introduction of Referees &amp; Starters</t>
  </si>
  <si>
    <t>Sport Presentation Input</t>
  </si>
  <si>
    <t>+</t>
  </si>
  <si>
    <t>Men's 400m Freestyle Heat 1</t>
  </si>
  <si>
    <t>SWMM400MFR------------HEAT000100--</t>
  </si>
  <si>
    <t>Men's 400m Freestyle Heat 2</t>
  </si>
  <si>
    <t>SWMM400MFR------------HEAT000200--</t>
  </si>
  <si>
    <t>Men's 400m Freestyle Heat 3</t>
  </si>
  <si>
    <t>SWMM400MFR------------HEAT000300--</t>
  </si>
  <si>
    <t>Women's 400m Individual Medley Heat 1</t>
  </si>
  <si>
    <t>SWMW400MIM------------HEAT000100--</t>
  </si>
  <si>
    <t>Women's 400m Individual Medley Heat 2</t>
  </si>
  <si>
    <t>SWMW400MIM------------HEAT000200--</t>
  </si>
  <si>
    <t>Women's 200m Freestyle Heat 1</t>
  </si>
  <si>
    <t>SWMW200MFR------------HEAT000100--</t>
  </si>
  <si>
    <t>Women's 200m Freestyle Heat 2</t>
  </si>
  <si>
    <t>SWMW200MFR------------HEAT000200--</t>
  </si>
  <si>
    <t>Women's 200m Freestyle Heat 3</t>
  </si>
  <si>
    <t>SWMW200MFR------------HEAT000300--</t>
  </si>
  <si>
    <t>Women's 200m Freestyle Heat 4</t>
  </si>
  <si>
    <t>Women's 100m Freestyle S9 Heat 1</t>
  </si>
  <si>
    <t>SWMW100MFR--09020-----HEAT000100--</t>
  </si>
  <si>
    <t>Women's 100m Freestyle S9 Heat 2</t>
  </si>
  <si>
    <t>SWMW100MFR--09020-----HEAT000200--</t>
  </si>
  <si>
    <t>Men's 50m Butterfly Heat 1</t>
  </si>
  <si>
    <t>SWMM50MBF-------------HEAT000100--</t>
  </si>
  <si>
    <t>Men's 50m Butterfly Heat 2</t>
  </si>
  <si>
    <t>SWMM50MBF-------------HEAT000200--</t>
  </si>
  <si>
    <t>Men's 50m Butterfly Heat 3</t>
  </si>
  <si>
    <t>SWMM50MBF-------------HEAT000300--</t>
  </si>
  <si>
    <t>Men's 50m Butterfly Heat 4</t>
  </si>
  <si>
    <t>SWMM50MBF-------------HEAT000400--</t>
  </si>
  <si>
    <t>Men's 50m Butterfly Heat 5</t>
  </si>
  <si>
    <t>SWMM50MBF-------------HEAT000500--</t>
  </si>
  <si>
    <t>Men's 50m Butterfly Heat 6</t>
  </si>
  <si>
    <t>SWMM50MBF-------------HEAT000600--</t>
  </si>
  <si>
    <t>Men's 50m Butterfly Heat 7</t>
  </si>
  <si>
    <t>SWMM50MBF-------------HEAT000700--</t>
  </si>
  <si>
    <t>Women's 50m Breaststroke Heat 1</t>
  </si>
  <si>
    <t>SWMW50MBR-------------HEAT000100--</t>
  </si>
  <si>
    <t>Women's 50m Breaststroke Heat 2</t>
  </si>
  <si>
    <t>SWMW50MBR-------------HEAT000200--</t>
  </si>
  <si>
    <t>Women's 50m Breaststroke Heat 3</t>
  </si>
  <si>
    <t>SWMW50MBR-------------HEAT000300--</t>
  </si>
  <si>
    <t>Women's 50m Breaststroke Heat 4</t>
  </si>
  <si>
    <t>SWMW50MBR-------------HEAT000400--</t>
  </si>
  <si>
    <t>Women's 50m Breaststroke Heat 5</t>
  </si>
  <si>
    <t>SWMW50MBR-------------HEAT000500--</t>
  </si>
  <si>
    <t>Men's 100m Backstroke Heat 1</t>
  </si>
  <si>
    <t>SWMM100MBA------------HEAT000100--</t>
  </si>
  <si>
    <t>Men's 100m Backstroke Heat 2</t>
  </si>
  <si>
    <t>SWMM100MBA------------HEAT000200--</t>
  </si>
  <si>
    <t>Men's 100m Backstroke Heat 3</t>
  </si>
  <si>
    <t>SWMM100MBA------------HEAT000300--</t>
  </si>
  <si>
    <t>Men's 100m Backstroke Heat 4</t>
  </si>
  <si>
    <t>SWMM100MBA------------HEAT000400--</t>
  </si>
  <si>
    <t>Men's 100m Backstroke Heat 5</t>
  </si>
  <si>
    <t>SWMM100MBA------------HEAT000500--</t>
  </si>
  <si>
    <t>Women's 100m Butterfly Heat 1</t>
  </si>
  <si>
    <t>SWMW100MBF------------HEAT000100--</t>
  </si>
  <si>
    <t>Women's 100m Butterfly Heat 2</t>
  </si>
  <si>
    <t>SWMW100MBF------------HEAT000200--</t>
  </si>
  <si>
    <t>Women's 100m Butterfly Heat 3</t>
  </si>
  <si>
    <t>SWMW100MBF------------HEAT000300--</t>
  </si>
  <si>
    <t>Women's 100m Butterfly Heat 4</t>
  </si>
  <si>
    <t>SWMW100MBF------------HEAT000400--</t>
  </si>
  <si>
    <t>Women's 100m Butterfly Heat 5</t>
  </si>
  <si>
    <t>SWMW100MBF------------HEAT000500--</t>
  </si>
  <si>
    <t>Men's 200m Breaststroke Heat 1</t>
  </si>
  <si>
    <t>SWMM200MBR------------HEAT000100--</t>
  </si>
  <si>
    <t>Men's 200m Breaststroke Heat 2</t>
  </si>
  <si>
    <t>SWMM200MBR------------HEAT000200--</t>
  </si>
  <si>
    <t>Men's 200m Breaststroke Heat 3</t>
  </si>
  <si>
    <t>SWMM200MBR------------HEAT000300--</t>
  </si>
  <si>
    <t>Mixed 4x100m Freestyle Relay Heat 1</t>
  </si>
  <si>
    <t>SWMX4X100MFR----------HEAT000100--</t>
  </si>
  <si>
    <t>Mixed 4x100m Freestyle Relay Heat 2</t>
  </si>
  <si>
    <t>SWMX4X100MFR----------HEAT000200--</t>
  </si>
  <si>
    <t>Mixed 4x100m Freestyle Relay Heat 3</t>
  </si>
  <si>
    <t>SWMX4X100MFR----------HEAT000300--</t>
  </si>
  <si>
    <t>Technical Officials parade off FOP</t>
  </si>
  <si>
    <t>Close of Session</t>
  </si>
  <si>
    <t xml:space="preserve">SWM Pool Athlete Warm Down </t>
  </si>
  <si>
    <t xml:space="preserve">DIV Pool training opens </t>
  </si>
  <si>
    <t>SCM Debrief</t>
  </si>
  <si>
    <t xml:space="preserve">Technical Delegate &amp; CRS depart </t>
  </si>
  <si>
    <t>SWM Pool Athlete Warm Down closes</t>
  </si>
  <si>
    <t>FOP, Athlete Area Inspection (Safety &amp; Equipment)</t>
  </si>
  <si>
    <t>SWM Competition Athlete Warm Up commences</t>
  </si>
  <si>
    <t>Technical Officials arrival (NTOs)</t>
  </si>
  <si>
    <t>DIV Athlete Training concludes</t>
  </si>
  <si>
    <t>SWM0102</t>
  </si>
  <si>
    <t>Men's 400m Freestyle Final</t>
  </si>
  <si>
    <t>SWMM400MFR------------FNL-000100--</t>
  </si>
  <si>
    <t>Women's 400m Individual Medley Final</t>
  </si>
  <si>
    <t>SWMW400MIM------------FNL-000100--</t>
  </si>
  <si>
    <t>Women's 200m Freestyle Final</t>
  </si>
  <si>
    <t>SWMW200MFR------------FNL-000100--</t>
  </si>
  <si>
    <t>Men's 400m Freestyle Medal Ceremony</t>
  </si>
  <si>
    <t>SWMM400MFR------------VICTMEDAL---</t>
  </si>
  <si>
    <t>Women's 400m Individual Medley Medal Ceremony</t>
  </si>
  <si>
    <t>SWMW400MIM------------VICTMEDAL---</t>
  </si>
  <si>
    <t>Men's 100m Backstroke S9 Final</t>
  </si>
  <si>
    <t>Women's 100m Freestyle S9 Final</t>
  </si>
  <si>
    <t>Women's 200m Freestyle Medal Ceremony</t>
  </si>
  <si>
    <t>SWMW200MFR------------VICTMEDAL---</t>
  </si>
  <si>
    <t>Men's 50m Butterfly Semi-Final 1</t>
  </si>
  <si>
    <t>SWMM50MBF-------------SFNL000100--</t>
  </si>
  <si>
    <t>Men's 50m Butterfly Semi-Final 2</t>
  </si>
  <si>
    <t>SWMM50MBF-------------SFNL000200--</t>
  </si>
  <si>
    <t>Women's 50m Breaststroke Semi-Final 1</t>
  </si>
  <si>
    <t>SWMW50MBR-------------SFNL000100--</t>
  </si>
  <si>
    <t>Women's 50m Breaststroke Semi-Final 2</t>
  </si>
  <si>
    <t>SWMW50MBR-------------SFNL000200--</t>
  </si>
  <si>
    <t>Men's 100m Backstroke S9 Medal Ceremony</t>
  </si>
  <si>
    <t>SWMM100MBA--09020-----VICTMEDAL---</t>
  </si>
  <si>
    <t>Women's 100m Freestyle S9 Medal Ceremony</t>
  </si>
  <si>
    <t>SWMW100MFR--09020-----VICTMEDAL---</t>
  </si>
  <si>
    <t>Men's 100m Backstroke Semi-Final 1</t>
  </si>
  <si>
    <t>SWMM100MBA------------SFNL000100--</t>
  </si>
  <si>
    <t>Men's 100m Backstroke Semi-Final 2</t>
  </si>
  <si>
    <t>SWMM100MBA------------SFNL000200--</t>
  </si>
  <si>
    <t>Women's 100m Butterfly Semi-Final 1</t>
  </si>
  <si>
    <t>SWMW100MBF------------SFNL000100--</t>
  </si>
  <si>
    <t>Women's 100m Butterfly Semi-Final 2</t>
  </si>
  <si>
    <t>SWMW100MBF------------SFNL000200--</t>
  </si>
  <si>
    <t>Men's 200m Breaststroke Final</t>
  </si>
  <si>
    <t>SWMM200MBR------------FNL-000100--</t>
  </si>
  <si>
    <t>Mixed 4x100m Freestyle Relay Final</t>
  </si>
  <si>
    <t>SWMX4X100MFR----------FNL-000100--</t>
  </si>
  <si>
    <t>Men's 200m Breaststroke Medal Ceremony</t>
  </si>
  <si>
    <t>SWMM200MBR------------VICTMEDAL---</t>
  </si>
  <si>
    <t>Mixed 4x100m Freestyle Relay Medal Ceremony</t>
  </si>
  <si>
    <t>SWMX4X100MFR----------VICTMEDAL---</t>
  </si>
  <si>
    <t>DIV Dryland Athlete Training concludes</t>
  </si>
  <si>
    <t>ADO Check for athletes</t>
  </si>
  <si>
    <t>SCM end of day report to SOC</t>
  </si>
  <si>
    <t>Last sport volunteers leave the venue</t>
  </si>
  <si>
    <t>Sport Competition Workforce off site</t>
  </si>
  <si>
    <t>Birmingham 2022 DCAS - AQUATICS - SWIMMING AND PARA SWIMMING - SATURDAY 30 JULY 2022</t>
  </si>
  <si>
    <t>n</t>
  </si>
  <si>
    <t>SWM0203</t>
  </si>
  <si>
    <t>Men's 200m Freestyle Heat 1</t>
  </si>
  <si>
    <t>SWMM200MFR------------HEAT000100--</t>
  </si>
  <si>
    <t>Men's 200m Freestyle Heat 2</t>
  </si>
  <si>
    <t>SWMM200MFR------------HEAT000200--</t>
  </si>
  <si>
    <t>Men's 200m Freestyle Heat 3</t>
  </si>
  <si>
    <t>SWMM200MFR------------HEAT000300--</t>
  </si>
  <si>
    <t>Men's 200m Freestyle Heat 4</t>
  </si>
  <si>
    <t>SWMM200MFR------------HEAT000400--</t>
  </si>
  <si>
    <t>Men's 200m Freestyle Heat 5</t>
  </si>
  <si>
    <t>SWMM200MFR------------HEAT000500--</t>
  </si>
  <si>
    <t>Women's 50m Freestyle Heat 1</t>
  </si>
  <si>
    <t>SWMW50MFR-------------HEAT000100--</t>
  </si>
  <si>
    <t>Women's 50m Freestyle Heat 2</t>
  </si>
  <si>
    <t>SWMW50MFR-------------HEAT000200--</t>
  </si>
  <si>
    <t>Women's 50m Freestyle Heat 3</t>
  </si>
  <si>
    <t>SWMW50MFR-------------HEAT000300--</t>
  </si>
  <si>
    <t>Women's 50m Freestyle Heat 4</t>
  </si>
  <si>
    <t>SWMW50MFR-------------HEAT000400--</t>
  </si>
  <si>
    <t>Women's 50m Freestyle Heat 5</t>
  </si>
  <si>
    <t>SWMW50MFR-------------HEAT000500--</t>
  </si>
  <si>
    <t>Women's 50m Freestyle Heat 6</t>
  </si>
  <si>
    <t>SWMW50MFR-------------HEAT000600--</t>
  </si>
  <si>
    <t>Women's 50m Freestyle Heat 7</t>
  </si>
  <si>
    <t>SWMW50MFR-------------HEAT000700--</t>
  </si>
  <si>
    <t>Women's 50m Freestyle Heat 8</t>
  </si>
  <si>
    <t>SWMW50MFR-------------HEAT000800--</t>
  </si>
  <si>
    <t>Women's 50m Freestyle Heat 9</t>
  </si>
  <si>
    <t>SWMW50MFR-------------HEAT000900--</t>
  </si>
  <si>
    <t>Men's 100m Breaststroke Heat 1</t>
  </si>
  <si>
    <t>SWMM100MBR------------HEAT000100--</t>
  </si>
  <si>
    <t>Men's 100m Breaststroke Heat 2</t>
  </si>
  <si>
    <t>SWMM100MBR------------HEAT000200--</t>
  </si>
  <si>
    <t>Men's 100m Breaststroke Heat 3</t>
  </si>
  <si>
    <t>SWMM100MBR------------HEAT000300--</t>
  </si>
  <si>
    <t>Men's 100m Breaststroke Heat 4</t>
  </si>
  <si>
    <t>SWMM100MBR------------HEAT000400--</t>
  </si>
  <si>
    <t>Men's 100m Breaststroke Heat 5</t>
  </si>
  <si>
    <t>SWMM100MBR------------HEAT000500--</t>
  </si>
  <si>
    <t>Women's 100m Backstroke Heat 1</t>
  </si>
  <si>
    <t>SWMW100MBA------------HEAT000100--</t>
  </si>
  <si>
    <t>Women's 100m Backstroke Heat 2</t>
  </si>
  <si>
    <t>SWMW100MBA------------HEAT000200--</t>
  </si>
  <si>
    <t>Women's 100m Backstroke Heat 3</t>
  </si>
  <si>
    <t>SWMW100MBA------------HEAT000300--</t>
  </si>
  <si>
    <t>Women's 100m Backstroke Heat 4</t>
  </si>
  <si>
    <t>SWMW100MBA------------HEAT000400--</t>
  </si>
  <si>
    <t>Men's 400m Individual Medley Heat 1</t>
  </si>
  <si>
    <t>SWMM400MIM------------HEAT000100--</t>
  </si>
  <si>
    <t>Men's 400m Individual Medley Heat 2</t>
  </si>
  <si>
    <t>SWMM400MIM------------HEAT000200--</t>
  </si>
  <si>
    <t>Men's 4x100m Freestyle Relay Heat 1</t>
  </si>
  <si>
    <t>SWMM4X100MFR----------HEAT000100--</t>
  </si>
  <si>
    <t>Men's 4x100m Freestyle Relay Heat 2</t>
  </si>
  <si>
    <t>SWMM4X100MFR----------HEAT000200--</t>
  </si>
  <si>
    <t>Technical Officials arrival (TD and ITOs)</t>
  </si>
  <si>
    <t>SWM0204</t>
  </si>
  <si>
    <t>Men's 50m Butterfly Final</t>
  </si>
  <si>
    <t>SWMM50MBF-------------FNL-000100--</t>
  </si>
  <si>
    <t>Women's 50m Breaststroke Final</t>
  </si>
  <si>
    <t>SWMW50MBR-------------FNL-000100--</t>
  </si>
  <si>
    <t>Women's 50m Freestyle Semi-Final 1</t>
  </si>
  <si>
    <t>SWMW50MFR-------------SFNL000100--</t>
  </si>
  <si>
    <t>Women's 50m Freestyle Semi-Final 2</t>
  </si>
  <si>
    <t>SWMW50MFR-------------SFNL000200--</t>
  </si>
  <si>
    <t>Men's 50m Butterfly Medal Ceremony</t>
  </si>
  <si>
    <t>SWMM50MBF-------------VICTMEDAL---</t>
  </si>
  <si>
    <t>Women's 50m Breaststroke Medal Ceremony</t>
  </si>
  <si>
    <t>SWMW50MBR-------------VICTMEDAL---</t>
  </si>
  <si>
    <t>Men's 200m Freestyle Final</t>
  </si>
  <si>
    <t>SWMM200MFR------------FNL-000100--</t>
  </si>
  <si>
    <t>Men's 50m Freestyle S13 Final</t>
  </si>
  <si>
    <t>SWMM50MFR---13020-----FNL-000100--</t>
  </si>
  <si>
    <t>Women's 50m Freestyle S13 Final</t>
  </si>
  <si>
    <t>SWMW50MFR---13020-----FNL-000100--</t>
  </si>
  <si>
    <t>Men's 100m Breaststroke Semi-Final 1</t>
  </si>
  <si>
    <t>SWMM100MBR------------SFNL000100--</t>
  </si>
  <si>
    <t>Men's 100m Breaststroke Semi-Final 2</t>
  </si>
  <si>
    <t>SWMM100MBR------------SFNL000200--</t>
  </si>
  <si>
    <t>Men's 200m Freestyle Medal Ceremony</t>
  </si>
  <si>
    <t>SWMM200MFR------------VICTMEDAL---</t>
  </si>
  <si>
    <t>Women's 100m Backstroke Semi-Final 1</t>
  </si>
  <si>
    <t>SWMW100MBA------------SFNL000100--</t>
  </si>
  <si>
    <t>Women's 100m Backstroke Semi-Final 2</t>
  </si>
  <si>
    <t>SWMW100MBA------------SFNL000200--</t>
  </si>
  <si>
    <t>Men's 50m Freestyle S13 Medal Ceremony</t>
  </si>
  <si>
    <t>SWMM50MFR---13020-----VICTMEDAL---</t>
  </si>
  <si>
    <t>Women's 50m Freestyle S13 Medal Ceremony</t>
  </si>
  <si>
    <t>SWMW50MFR---13020-----VICTMEDAL---</t>
  </si>
  <si>
    <t>Men's 400m Individual Medley Final</t>
  </si>
  <si>
    <t>SWMM400MIM------------FNL-000100--</t>
  </si>
  <si>
    <t>Women's 100m Butterfly Final</t>
  </si>
  <si>
    <t>SWMW100MBF------------FNL-000100--</t>
  </si>
  <si>
    <t>Men's 100m Backstroke Final</t>
  </si>
  <si>
    <t>SWMM100MBA------------FNL-000100--</t>
  </si>
  <si>
    <t>Men's 400m Individual Medley Medal Ceremony</t>
  </si>
  <si>
    <t>SWMM400MIM------------VICTMEDAL---</t>
  </si>
  <si>
    <t>Women's 100m Butterfly Medal Ceremony</t>
  </si>
  <si>
    <t>SWMW100MBF------------VICTMEDAL---</t>
  </si>
  <si>
    <t xml:space="preserve">Women's 4x100m Freestyle Relay Final </t>
  </si>
  <si>
    <t>SWMW4X100MFR----------FNL-000100--</t>
  </si>
  <si>
    <t>Men's 100m Backstroke Medal Ceremony</t>
  </si>
  <si>
    <t>SWMM100MBA------------VICTMEDAL---</t>
  </si>
  <si>
    <t xml:space="preserve">Men's 4x100m Freestyle Relay Final </t>
  </si>
  <si>
    <t>SWMM4X100MFR----------FNL-000100--</t>
  </si>
  <si>
    <t>Women's 4x100m Freestyle Relay Medal Ceremony</t>
  </si>
  <si>
    <t>SWMW4X100MFR----------VICTMEDAL---</t>
  </si>
  <si>
    <t>Men's  4x100m Freestyle Relay Medal Ceremony</t>
  </si>
  <si>
    <t>SWMM4X100MFR----------VICTMEDAL---</t>
  </si>
  <si>
    <t>Birmingham 2022 DCAS - AQUATICS - SWIMMING AND PARA SWIMMING - SUNDAY 31 JULY 2022</t>
  </si>
  <si>
    <t>SCM 085</t>
  </si>
  <si>
    <t>SCM 064</t>
  </si>
  <si>
    <t>SPO 005</t>
  </si>
  <si>
    <t>SPP 002</t>
  </si>
  <si>
    <t>SWM0305</t>
  </si>
  <si>
    <t>Men's 200m Butterfly Heat 1</t>
  </si>
  <si>
    <t>SWMM200MBF------------HEAT000100--</t>
  </si>
  <si>
    <t>Men's 200m Butterfly Heat 2</t>
  </si>
  <si>
    <t>SWMM200MBF------------HEAT000200--</t>
  </si>
  <si>
    <t>Men's 200m Butterfly Heat 3</t>
  </si>
  <si>
    <t>SWMM200MBF------------HEAT000300--</t>
  </si>
  <si>
    <t xml:space="preserve">Women's 200m Breaststroke Heat 1  </t>
  </si>
  <si>
    <t>SWMW200MBR------------HEAT000100--</t>
  </si>
  <si>
    <t xml:space="preserve">Women's 200m Breaststroke Heat 2  </t>
  </si>
  <si>
    <t>SWMW200MBR------------HEAT000200--</t>
  </si>
  <si>
    <t xml:space="preserve">Men's 50m Backstroke Heat 1 </t>
  </si>
  <si>
    <t>SWMM50MBA-------------HEAT000100--</t>
  </si>
  <si>
    <t xml:space="preserve">Men's 50m Backstroke Heat 2 </t>
  </si>
  <si>
    <t>SWMM50MBA-------------HEAT000200--</t>
  </si>
  <si>
    <t>Men's 50m Backstroke Heat 3</t>
  </si>
  <si>
    <t>SWMM50MBA-------------HEAT000300--</t>
  </si>
  <si>
    <t>Men's 50m Backstroke Heat 4</t>
  </si>
  <si>
    <t>SWMM50MBA-------------HEAT000400--</t>
  </si>
  <si>
    <t xml:space="preserve">Men's 50m Backstroke Heat 5 </t>
  </si>
  <si>
    <t>SWMM50MBA-------------HEAT000500--</t>
  </si>
  <si>
    <t xml:space="preserve">Men's 50m Backstroke Heat 6 </t>
  </si>
  <si>
    <t>SWMM50MBA-------------HEAT000600--</t>
  </si>
  <si>
    <t>Women's 50m Butterfly Heat 1</t>
  </si>
  <si>
    <t>SWMW50MBF-------------HEAT000100--</t>
  </si>
  <si>
    <t>Women's 50m Butterfly Heat 2</t>
  </si>
  <si>
    <t>SWMW50MBF-------------HEAT000200--</t>
  </si>
  <si>
    <t>Women's 50m Butterfly Heat 3</t>
  </si>
  <si>
    <t>SWMW50MBF-------------HEAT000300--</t>
  </si>
  <si>
    <t>Women's 50m Butterfly Heat 4</t>
  </si>
  <si>
    <t>SWMW50MBF-------------HEAT000400--</t>
  </si>
  <si>
    <t>Women's 50m Butterfly Heat 5</t>
  </si>
  <si>
    <t>SWMW50MBF-------------HEAT000500--</t>
  </si>
  <si>
    <t>Women's 50m Butterfly Heat 6</t>
  </si>
  <si>
    <t>SWMW50MBF-------------HEAT000600--</t>
  </si>
  <si>
    <t>Women's 50m Butterfly Heat 7</t>
  </si>
  <si>
    <t>SWMW50MBF-------------HEAT000700--</t>
  </si>
  <si>
    <t>Men's 100m Freestyle Heat 1</t>
  </si>
  <si>
    <t>SWMM100MFR------------HEAT000100--</t>
  </si>
  <si>
    <t>Men's 100m Freestyle Heat 2</t>
  </si>
  <si>
    <t>SWMM100MFR------------HEAT000200--</t>
  </si>
  <si>
    <t>Men's 100m Freestyle Heat 3</t>
  </si>
  <si>
    <t>SWMM100MFR------------HEAT000300--</t>
  </si>
  <si>
    <t>Men's 100m Freestyle Heat 4</t>
  </si>
  <si>
    <t>SWMM100MFR------------HEAT000400--</t>
  </si>
  <si>
    <t>Men's 100m Freestyle Heat 5</t>
  </si>
  <si>
    <t>SWMM100MFR------------HEAT000500--</t>
  </si>
  <si>
    <t>Men's 100m Freestyle Heat 6</t>
  </si>
  <si>
    <t>SWMM100MFR------------HEAT000600--</t>
  </si>
  <si>
    <t>Men's 100m Freestyle Heat 7</t>
  </si>
  <si>
    <t>SWMM100MFR------------HEAT000700--</t>
  </si>
  <si>
    <t>Men's 100m Freestyle Heat 8</t>
  </si>
  <si>
    <t>SWMM100MFR------------HEAT000800--</t>
  </si>
  <si>
    <t>Men's 100m Freestyle Heat 9</t>
  </si>
  <si>
    <t>SWMM100MFR------------HEAT000900--</t>
  </si>
  <si>
    <t>SWM0306</t>
  </si>
  <si>
    <t>Men's 50m Backstroke Semi-Final 1</t>
  </si>
  <si>
    <t>SWMM50MBA-------------SFNL000100--</t>
  </si>
  <si>
    <t>Men's 50m Backstroke Semi-Final 2</t>
  </si>
  <si>
    <t>SWMM50MBA-------------SFNL000200--</t>
  </si>
  <si>
    <t>Women's 50m Butterfly Semi-Final 1</t>
  </si>
  <si>
    <t>Women's 50m Butterfly Semi-Final 2</t>
  </si>
  <si>
    <t xml:space="preserve">Men's 200m Butterfly Final </t>
  </si>
  <si>
    <t>Women's 100m Backstroke S8 Final</t>
  </si>
  <si>
    <t>SWMW100MBA--08020-----FNL-000100--</t>
  </si>
  <si>
    <t>Men's 100m Breaststroke SB8 Final</t>
  </si>
  <si>
    <t>SWMM100MBR--08020-----FNL-000100--</t>
  </si>
  <si>
    <t>Men's 200m Butterfly Medal Ceremony</t>
  </si>
  <si>
    <t>SWMM200MBF------------VICTMEDAL---</t>
  </si>
  <si>
    <t>Women's 100m Backstroke S8 Medal Ceremony</t>
  </si>
  <si>
    <t>SWMW100MBA--08020-----VICTMEDAL---</t>
  </si>
  <si>
    <t>Women's 50m Freestyle Final</t>
  </si>
  <si>
    <t>SWMW50MFR-------------FNL-000100--</t>
  </si>
  <si>
    <t>Men's 100m Freestyle Semi-Final 1</t>
  </si>
  <si>
    <t>SWMM100MFR------------SFNL000100--</t>
  </si>
  <si>
    <t>Men's 100m Freestyle Semi-Final 2</t>
  </si>
  <si>
    <t>SWMM100MFR------------SFNL000200--</t>
  </si>
  <si>
    <t>Women's 200m Breaststroke Final</t>
  </si>
  <si>
    <t>SWMW200MBR------------FNL-000100--</t>
  </si>
  <si>
    <t xml:space="preserve">Men's 100m Breaststroke SB8 Medal Ceremony </t>
  </si>
  <si>
    <t>SWMM100MBR--08020-----VICTMEDAL---</t>
  </si>
  <si>
    <t xml:space="preserve">Women's 200m Breaststroke Medal Ceremony </t>
  </si>
  <si>
    <t>SWMW200MBR------------VICTMEDAL---</t>
  </si>
  <si>
    <t>Women's 100m Backstroke Final</t>
  </si>
  <si>
    <t>SWMW100MBA------------FNL-000100--</t>
  </si>
  <si>
    <t>Men's 100m Breaststroke Final</t>
  </si>
  <si>
    <t>SWMM100MBR------------FNL-000100--</t>
  </si>
  <si>
    <t xml:space="preserve">Women's 50m Freestyle Medal Ceremony </t>
  </si>
  <si>
    <t>SWMW50MFR-------------VICTMEDAL---</t>
  </si>
  <si>
    <t>Women's 100m Backstroke Medal Ceremony</t>
  </si>
  <si>
    <t>SWMW100MBA------------VICTMEDAL---</t>
  </si>
  <si>
    <t>Women's 4x200m Freestyle Relay Final</t>
  </si>
  <si>
    <t>SWMW4X200MFR----------FNL-000100--</t>
  </si>
  <si>
    <t xml:space="preserve">Men's 100m Breaststroke Medal Ceremony </t>
  </si>
  <si>
    <t>SWMM100MBR------------VICTMEDAL---</t>
  </si>
  <si>
    <t xml:space="preserve">Women's 4x200m Freestyle Relay Medal Ceremony </t>
  </si>
  <si>
    <t>SWMW4X200MFR----------VICTMEDAL---</t>
  </si>
  <si>
    <t>Birmingham 2022 DCAS - AQUATICS - SWIMMING AND PARA SWIMMING - MONDAY 1 AUGUST 2022</t>
  </si>
  <si>
    <t>SWM0407</t>
  </si>
  <si>
    <t>Women's 200m Backstroke Heat 1</t>
  </si>
  <si>
    <t>SWMW200MBA------------HEAT000100--</t>
  </si>
  <si>
    <t>Women's 200m Backstroke Heat 2</t>
  </si>
  <si>
    <t>SWMW200MBA------------HEAT000200--</t>
  </si>
  <si>
    <t>Men's 50m Breaststroke Heat 1</t>
  </si>
  <si>
    <t>SWMM50MBR-------------HEAT000100--</t>
  </si>
  <si>
    <t>Men's 50m Breaststroke Heat 2</t>
  </si>
  <si>
    <t>SWMM50MBR-------------HEAT000200--</t>
  </si>
  <si>
    <t>Men's 50m Breaststroke Heat 3</t>
  </si>
  <si>
    <t>SWMM50MBR-------------HEAT000300--</t>
  </si>
  <si>
    <t>Men's 50m Breaststroke Heat 4</t>
  </si>
  <si>
    <t>SWMM50MBR-------------HEAT000400--</t>
  </si>
  <si>
    <t>Men's 50m Breaststroke Heat 5</t>
  </si>
  <si>
    <t>SWMM50MBR-------------HEAT000500--</t>
  </si>
  <si>
    <t>Men's 50m Breaststroke Heat 6</t>
  </si>
  <si>
    <t>SWMM50MBR-------------HEAT000600--</t>
  </si>
  <si>
    <t>Women's 100m Freestyle Heat 1</t>
  </si>
  <si>
    <t>SWMW100MFR------------HEAT000100--</t>
  </si>
  <si>
    <t>Women's 100m Freestyle Heat 2</t>
  </si>
  <si>
    <t>SWMW100MFR------------HEAT000200--</t>
  </si>
  <si>
    <t>Women's 100m Freestyle Heat 3</t>
  </si>
  <si>
    <t>SWMW100MFR------------HEAT000300--</t>
  </si>
  <si>
    <t>Women's 100m Freestyle Heat 4</t>
  </si>
  <si>
    <t>SWMW100MFR------------HEAT000400--</t>
  </si>
  <si>
    <t>Women's 100m Freestyle Heat 5</t>
  </si>
  <si>
    <t>SWMW100MFR------------HEAT000500--</t>
  </si>
  <si>
    <t>Women's 100m Freestyle Heat 6</t>
  </si>
  <si>
    <t>SWMW100MFR------------HEAT000600--</t>
  </si>
  <si>
    <t>Women's 100m Freestyle Heat 7</t>
  </si>
  <si>
    <t>SWMW100MFR------------HEAT000700--</t>
  </si>
  <si>
    <t>Men's 100m Butterfly Heat 1</t>
  </si>
  <si>
    <t>SWMM100MBF------------HEAT000100--</t>
  </si>
  <si>
    <t>Men's 100m Butterfly Heat 2</t>
  </si>
  <si>
    <t>SWMM100MBF------------HEAT000200--</t>
  </si>
  <si>
    <t>Men's 100m Butterfly Heat 3</t>
  </si>
  <si>
    <t>SWMM100MBF------------HEAT000300--</t>
  </si>
  <si>
    <t>Men's 100m Butterfly Heat 4</t>
  </si>
  <si>
    <t>SWMM100MBF------------HEAT000400--</t>
  </si>
  <si>
    <t>Men's 100m Butterfly Heat 5</t>
  </si>
  <si>
    <t>SWMM100MBF------------HEAT000500--</t>
  </si>
  <si>
    <t>Men's 100m Butterfly Heat 6</t>
  </si>
  <si>
    <t>SWMM100MBF------------HEAT000600--</t>
  </si>
  <si>
    <t>Men's 100m Butterfly Heat 7</t>
  </si>
  <si>
    <t>SWMM100MBF------------HEAT000700--</t>
  </si>
  <si>
    <t>Women's 200m Individual Medley Heat 1</t>
  </si>
  <si>
    <t>SWMW200MIM------------HEAT000100--</t>
  </si>
  <si>
    <t>Women's 200m Individual Medley Heat 2</t>
  </si>
  <si>
    <t>SWMW200MIM------------HEAT000200--</t>
  </si>
  <si>
    <t>Women's 100m Breaststroke Heat 1</t>
  </si>
  <si>
    <t>SWMW100MBR------------HEAT000100--</t>
  </si>
  <si>
    <t>Women's 100m Breaststroke Heat 2</t>
  </si>
  <si>
    <t>SWMW100MBR------------HEAT000200--</t>
  </si>
  <si>
    <t>Women's 100m Breaststroke Heat 3</t>
  </si>
  <si>
    <t>SWMW100MBR------------HEAT000300--</t>
  </si>
  <si>
    <t>Women's 100m Breaststroke Heat 4</t>
  </si>
  <si>
    <t>SWMW100MBR------------HEAT000400--</t>
  </si>
  <si>
    <t>Women's 800m Freestyle Heat 1</t>
  </si>
  <si>
    <t>SWMW800MFR------------HEAT000100--</t>
  </si>
  <si>
    <t>Women's 800m Freestyle Heat 2</t>
  </si>
  <si>
    <t>SWMW800MFR------------HEAT000200--</t>
  </si>
  <si>
    <t>SWM0408</t>
  </si>
  <si>
    <t xml:space="preserve">Men's 100m Freestyle Final </t>
  </si>
  <si>
    <t>SWMM100MFR------------FNL-000100--</t>
  </si>
  <si>
    <t>Women's 200m Backstroke Final</t>
  </si>
  <si>
    <t>SWMW200MBA------------FNL-000100--</t>
  </si>
  <si>
    <t>Men's 50m Breaststroke Semi-Final 1</t>
  </si>
  <si>
    <t>SWMM50MBR-------------SFNL000100--</t>
  </si>
  <si>
    <t>Men's 50m Breaststroke Semi-Final 2</t>
  </si>
  <si>
    <t>SWMM50MBR-------------SFNL000200--</t>
  </si>
  <si>
    <t>Women's 100m Freestyle Semi-Final 1</t>
  </si>
  <si>
    <t>SWMW100MFR------------SFNL000100--</t>
  </si>
  <si>
    <t>Women's 100m Freestyle Semi-Final 2</t>
  </si>
  <si>
    <t>SWMW100MFR------------SFNL000200--</t>
  </si>
  <si>
    <t xml:space="preserve">Men's 100m Freestyle Medal Ceremony </t>
  </si>
  <si>
    <t>SWMM100MFR------------VICTMEDAL---</t>
  </si>
  <si>
    <t>Women's 200m Backstroke Medal Ceremony</t>
  </si>
  <si>
    <t>SWMW200MBA------------VICTMEDAL---</t>
  </si>
  <si>
    <t>Men's 100m Butterfly Semi-Final 1</t>
  </si>
  <si>
    <t>Men's 100m Butterfly Semi-Final 2</t>
  </si>
  <si>
    <t>SWMM100MBF------------SFNL000200--</t>
  </si>
  <si>
    <t>Women's 200m Individual Medley Final</t>
  </si>
  <si>
    <t>SWMW200MIM------------FNL-000100--</t>
  </si>
  <si>
    <t xml:space="preserve">Men's 50m S7 Freestyle Final </t>
  </si>
  <si>
    <t>SWMM50MFR---07020-----FNL-000100--</t>
  </si>
  <si>
    <t>Women's 100m Breaststroke SB6 Final</t>
  </si>
  <si>
    <t>SWMW100MBR--06020-----FNL-000100--</t>
  </si>
  <si>
    <t xml:space="preserve">Women's 200m Individual Medley Medal Ceremony </t>
  </si>
  <si>
    <t>SWMW200MIM------------VICTMEDAL---</t>
  </si>
  <si>
    <t xml:space="preserve">Men's 50m Backstroke Final </t>
  </si>
  <si>
    <t>SWMM50MBA-------------FNL-000100--</t>
  </si>
  <si>
    <t>Women's 50m Butterfly Final</t>
  </si>
  <si>
    <t>SWMW50MBF-------------FNL-000100--</t>
  </si>
  <si>
    <t xml:space="preserve">Men's 50m S7 Freestyle Medal Ceremony  </t>
  </si>
  <si>
    <t>SWMM50MFR---07020-----VICTMEDAL---</t>
  </si>
  <si>
    <t xml:space="preserve">Women's 100m Breaststroke SB6 Medal Ceremony </t>
  </si>
  <si>
    <t>SWMW100MBR--06020-----VICTMEDAL---</t>
  </si>
  <si>
    <t>Men's 4x200m Freestyle Relay Final</t>
  </si>
  <si>
    <t>SWMM4X200MFR----------FNL-000100--</t>
  </si>
  <si>
    <t>Men's 50m Backstroke Medal Ceremony</t>
  </si>
  <si>
    <t>SWMM50MBA-------------VICTMEDAL---</t>
  </si>
  <si>
    <t xml:space="preserve">Women's 50m Butterfly Medal Ceremony </t>
  </si>
  <si>
    <t>SWMW50MBF-------------VICTMEDAL---</t>
  </si>
  <si>
    <t>Men's 4x200m Freestyle Relay Medal Ceremony</t>
  </si>
  <si>
    <t>SWMM4X200MFR----------VICTMEDAL---</t>
  </si>
  <si>
    <t>Birimingham 2022 DCAS - AQUATICS - SWIMMING AND PARA SWIMMING - TUESDAY 2 AUGUST 2022</t>
  </si>
  <si>
    <t>SWM0509</t>
  </si>
  <si>
    <t>Men's 200m Backstroke Heat 1</t>
  </si>
  <si>
    <t>SWMM200MBA------------HEAT000100--</t>
  </si>
  <si>
    <t>Men's 200m Backstroke Heat 2</t>
  </si>
  <si>
    <t>SWMM200MBA------------HEAT000200--</t>
  </si>
  <si>
    <t>Men's 200m Backstroke Heat 3</t>
  </si>
  <si>
    <t>SWMM200MBA------------HEAT000300--</t>
  </si>
  <si>
    <t>Women's 200m Butterfly Heat 1</t>
  </si>
  <si>
    <t>SWMW200MBF------------HEAT000100--</t>
  </si>
  <si>
    <t xml:space="preserve">Women's 200m Butterfly Heat 2 </t>
  </si>
  <si>
    <t>SWMW200MBF------------HEAT000200--</t>
  </si>
  <si>
    <t>Men's 50m Freestyle Heat 1</t>
  </si>
  <si>
    <t>SWMM50MFR-------------HEAT000100--</t>
  </si>
  <si>
    <t>Men's 50m Freestyle Heat 2</t>
  </si>
  <si>
    <t>SWMM50MFR-------------HEAT000200--</t>
  </si>
  <si>
    <t>Men's 50m Freestyle Heat 3</t>
  </si>
  <si>
    <t>SWMM50MFR-------------HEAT000300--</t>
  </si>
  <si>
    <t>Men's 50m Freestyle Heat 4</t>
  </si>
  <si>
    <t>SWMM50MFR-------------HEAT000400--</t>
  </si>
  <si>
    <t>Men's 50m Freestyle Heat 5</t>
  </si>
  <si>
    <t>SWMM50MFR-------------HEAT000500--</t>
  </si>
  <si>
    <t>Men's 50m Freestyle Heat 6</t>
  </si>
  <si>
    <t>SWMM50MFR-------------HEAT000600--</t>
  </si>
  <si>
    <t>Men's 50m Freestyle Heat 7</t>
  </si>
  <si>
    <t>SWMM50MFR-------------HEAT000700--</t>
  </si>
  <si>
    <t>Men's 50m Freestyle Heat 8</t>
  </si>
  <si>
    <t>SWMM50MFR-------------HEAT000800--</t>
  </si>
  <si>
    <t>Men's 50m Freestyle Heat 9</t>
  </si>
  <si>
    <t>SWMM50MFR-------------HEAT000900--</t>
  </si>
  <si>
    <t>Women's 50m Backstroke Heat 1</t>
  </si>
  <si>
    <t>SWMW50MBA-------------HEAT000100--</t>
  </si>
  <si>
    <t>Women's 50m Backstroke Heat 2</t>
  </si>
  <si>
    <t>SWMW50MBA-------------HEAT000200--</t>
  </si>
  <si>
    <t>Women's 50m Backstroke Heat 3</t>
  </si>
  <si>
    <t>SWMW50MBA-------------HEAT000300--</t>
  </si>
  <si>
    <t>Women's 50m Backstroke Heat 4</t>
  </si>
  <si>
    <t>SWMW50MBA-------------HEAT000400--</t>
  </si>
  <si>
    <t>Women's 50m Backstroke Heat 5</t>
  </si>
  <si>
    <t>SWMW50MBA-------------HEAT000500--</t>
  </si>
  <si>
    <t>Mixed 4x100m Medley Relay Heat 1</t>
  </si>
  <si>
    <t>SWMX4X100MMD----------HEAT000100--</t>
  </si>
  <si>
    <t>Mixed 4x100m Medley Relay Heat 2</t>
  </si>
  <si>
    <t>SWMX4X100MMD----------HEAT000200--</t>
  </si>
  <si>
    <t>Mixed 4x100m Medley Relay Heat 3</t>
  </si>
  <si>
    <t>SWMX4X100MMD----------HEAT000300--</t>
  </si>
  <si>
    <t>Men's 1500m Freestyle Heat 1</t>
  </si>
  <si>
    <t>SWMM1500MFR-----------HEAT000100--</t>
  </si>
  <si>
    <t>Men's 1500m Freestyle Heat 2</t>
  </si>
  <si>
    <t>SWMM1500MFR-----------HEAT000200--</t>
  </si>
  <si>
    <t>SWM0510</t>
  </si>
  <si>
    <t>Women's 100m Breaststroke Final</t>
  </si>
  <si>
    <t xml:space="preserve">Men's 200m Backstroke Final </t>
  </si>
  <si>
    <t>SWMM200MBA------------FNL-000100--</t>
  </si>
  <si>
    <t>Women's 200m Butterfly Final</t>
  </si>
  <si>
    <t>SWMW200MBF------------FNL-000100--</t>
  </si>
  <si>
    <t>Women's 100m Breaststroke Medal Ceremony</t>
  </si>
  <si>
    <t>SWMW100MBR------------VICTMEDAL---</t>
  </si>
  <si>
    <t xml:space="preserve">Men's 200m Backstroke Medal Ceremony </t>
  </si>
  <si>
    <t>SWMM200MBA------------VICTMEDAL---</t>
  </si>
  <si>
    <t>Women's 100m Freestyle Final</t>
  </si>
  <si>
    <t>SWMW100MFR------------FNL-000100--</t>
  </si>
  <si>
    <t xml:space="preserve">Men's 100m Butterfly Final </t>
  </si>
  <si>
    <t>SWMM100MBF------------FNL-000100--</t>
  </si>
  <si>
    <t xml:space="preserve">Women's 200m Butterfly Medal Ceremony </t>
  </si>
  <si>
    <t>SWMW200MBF------------VICTMEDAL---</t>
  </si>
  <si>
    <t>Women's 100m Freestyle Medal Ceremony</t>
  </si>
  <si>
    <t>SWMW100MFR------------VICTMEDAL---</t>
  </si>
  <si>
    <t>Men's 50m Freestyle Semi-Final 1</t>
  </si>
  <si>
    <t>SWMM50MFR-------------SFNL000100--</t>
  </si>
  <si>
    <t>Men's 50m Freestyle Semi-Final 2</t>
  </si>
  <si>
    <t>SWMM50MFR-------------SFNL000200--</t>
  </si>
  <si>
    <t xml:space="preserve">Men's 50m Breaststroke Final </t>
  </si>
  <si>
    <t>SWMM50MBR-------------FNL-000100--</t>
  </si>
  <si>
    <t>Men's 100m Butterfly Medal Ceremony</t>
  </si>
  <si>
    <t>SWMM100MBF------------VICTMEDAL---</t>
  </si>
  <si>
    <t>Women's 50m Backstroke Semi-Final 1</t>
  </si>
  <si>
    <t>SWMW50MBA-------------SFNL000100--</t>
  </si>
  <si>
    <t>Women's 50m Backstroke Semi-Final 2</t>
  </si>
  <si>
    <t>SWMW50MBA-------------SFNL000200--</t>
  </si>
  <si>
    <t xml:space="preserve">Men's 100m Butterfly S10 Final </t>
  </si>
  <si>
    <t>SWMM100MBF--10020-----FNL-000100--</t>
  </si>
  <si>
    <t>Women's 200m Individual Medley SM10 Final</t>
  </si>
  <si>
    <t>SWMW200MIM--10020-----FNL-000100--</t>
  </si>
  <si>
    <t xml:space="preserve">Men's 50m Breaststroke Medal Ceremony </t>
  </si>
  <si>
    <t>SWMM50MBR-------------VICTMEDAL---</t>
  </si>
  <si>
    <t>Women's 200m Individual Medley SM10 Medal Ceremony</t>
  </si>
  <si>
    <t>SWMW200MIM--10020-----VICTMEDAL---</t>
  </si>
  <si>
    <t>Women's 800m Freestyle Final</t>
  </si>
  <si>
    <t>SWMW800MFR------------FNL-000100--</t>
  </si>
  <si>
    <t>Men's 100m Butterfly S10 Medal Ceremony</t>
  </si>
  <si>
    <t>SWMM100MBF--10020-----VICTMEDAL---</t>
  </si>
  <si>
    <t xml:space="preserve">Mixed 4x100m Medley Relay Final </t>
  </si>
  <si>
    <t>SWMX4X100MMD----------FNL-000100--</t>
  </si>
  <si>
    <t>Women's 800m Freestyle Medal Ceremony</t>
  </si>
  <si>
    <t>SWMW800MFR------------VICTMEDAL---</t>
  </si>
  <si>
    <t>Mixed 4x100m Medley Relay Medal Ceremony</t>
  </si>
  <si>
    <t>SWMX4X100MMD----------VICTMEDAL---</t>
  </si>
  <si>
    <t>Birimingham 2022 DCAS - AQUATICS - SWIMMING AND PARA SWIMMING - WEDNESDAY 3 AUGUST 2022</t>
  </si>
  <si>
    <t>SWM0611</t>
  </si>
  <si>
    <t>Men's 200m Individual Medley Heat 1</t>
  </si>
  <si>
    <t>SWMM200MIM------------HEAT000100--</t>
  </si>
  <si>
    <t>Men's 200m Individual Medley Heat 2</t>
  </si>
  <si>
    <t>SWMM200MIM------------HEAT000200--</t>
  </si>
  <si>
    <t>Men's 200m Individual Medley Heat 3</t>
  </si>
  <si>
    <t>SWMM200MIM------------HEAT000300--</t>
  </si>
  <si>
    <t>Men's 200m Individual Medley Heat 4</t>
  </si>
  <si>
    <t>SWMM200MIM------------HEAT000400--</t>
  </si>
  <si>
    <t>Women's 400m Freestyle Heat 1</t>
  </si>
  <si>
    <t>SWMW400MFR------------HEAT000100--</t>
  </si>
  <si>
    <t>Women's 400m Freestyle Heat 2</t>
  </si>
  <si>
    <t>SWMW400MFR------------HEAT000200--</t>
  </si>
  <si>
    <t>Women's 400m Freestyle Heat 3</t>
  </si>
  <si>
    <t>SWMW400MFR------------HEAT000300--</t>
  </si>
  <si>
    <t>Women's 400m Freestyle Heat 4</t>
  </si>
  <si>
    <t>SWMW400MFR------------HEAT000400--</t>
  </si>
  <si>
    <t>Men's 4x100m Medley Relay Heat 1</t>
  </si>
  <si>
    <t>SWMM4X100MMD----------HEAT000200--</t>
  </si>
  <si>
    <t>Men's 4x100m Medley Relay Heat 2</t>
  </si>
  <si>
    <t>SWM0612</t>
  </si>
  <si>
    <t>Men's 200m Individual Medley Final</t>
  </si>
  <si>
    <t>Women's 200m Freestyle S14 Final</t>
  </si>
  <si>
    <t>SWMW200MFR--14010-----FNL-000100--</t>
  </si>
  <si>
    <t>Men's 200m Freestyle S14 Final</t>
  </si>
  <si>
    <t>SWMM200MFR--14010-----FNL-000100--</t>
  </si>
  <si>
    <t>Men's 200m Individual Medlay Medal Ceremony</t>
  </si>
  <si>
    <t>SWMM200MIM------------VICTMEDAL---</t>
  </si>
  <si>
    <t>Women's 200m Freestyle S14 Medal Ceremony</t>
  </si>
  <si>
    <t>SWMW200MFR--14010-----VICTMEDAL---</t>
  </si>
  <si>
    <t>Men's 50m Freestyle Final</t>
  </si>
  <si>
    <t>SWMM50MFR-------------FNL-000100--</t>
  </si>
  <si>
    <t>Women's 50m Backstroke Final</t>
  </si>
  <si>
    <t>SWMW50MBA-------------FNL-000100--</t>
  </si>
  <si>
    <t>Men's 200m Freestyle S14 Medal Ceremony</t>
  </si>
  <si>
    <t>SWMM200MFR--14010-----VICTMEDAL---</t>
  </si>
  <si>
    <t xml:space="preserve">Men's 50m Freestyle Medal Ceremony </t>
  </si>
  <si>
    <t>SWMM50MFR-------------VICTMEDAL---</t>
  </si>
  <si>
    <t>Men's 1500m Freestyle Final</t>
  </si>
  <si>
    <t>SWMM1500MFR-----------FNL-000100--</t>
  </si>
  <si>
    <t>Women's 50m Backstroke Medal Ceremony</t>
  </si>
  <si>
    <t>SWMW50MBA-------------VICTMEDAL---</t>
  </si>
  <si>
    <t>Men's 1500m Freestyle Medal Ceremony</t>
  </si>
  <si>
    <t>SWMM1500MFR-----------VICTMEDAL---</t>
  </si>
  <si>
    <t>Women's 400m Freestyle Final</t>
  </si>
  <si>
    <t>SWMW400MFR------------FNL-000100--</t>
  </si>
  <si>
    <t>Men's 4x100 Medley Relay Final</t>
  </si>
  <si>
    <t>SWMM4X100MMD----------FNL-000100--</t>
  </si>
  <si>
    <t>Women's 4x100 Medley Relay Final</t>
  </si>
  <si>
    <t>SWMW4X100MMD----------FNL-000100--</t>
  </si>
  <si>
    <t>Women's 400m Freestyle Medal Ceremony</t>
  </si>
  <si>
    <t>SWMW400MFR------------VICTMEDAL---</t>
  </si>
  <si>
    <t>Men's 4x100 Medley Relay Medal Ceremony</t>
  </si>
  <si>
    <t>SWMM4X100MMD----------VICTMEDAL---</t>
  </si>
  <si>
    <t>Women's 4x100 Medley Relay Medal Ceremony</t>
  </si>
  <si>
    <t>SWMW4X100MMD----------VICTMEDAL---</t>
  </si>
  <si>
    <t>Birmingham 2022 DCAS - AQUATICS - DIVING - THURSDAY 04 AUGUST 2022</t>
  </si>
  <si>
    <t xml:space="preserve">First Athlete arrival </t>
  </si>
  <si>
    <t>DIV Dryland Competition Warm Up commences</t>
  </si>
  <si>
    <t>DIV Pool Competition Warm Up commences</t>
  </si>
  <si>
    <t>Introduction of Athletes</t>
  </si>
  <si>
    <t>DIV0701</t>
  </si>
  <si>
    <t xml:space="preserve">Men's 1m Springboard Preliminary </t>
  </si>
  <si>
    <t>DIVM1M----------------PREL000100--</t>
  </si>
  <si>
    <t>Men's 1m Springboard Preliminary - Round 1</t>
  </si>
  <si>
    <t>Men's 1m Springboard Preliminary - Round 2</t>
  </si>
  <si>
    <t>Men's 1m Springboard Preliminary - Round 3</t>
  </si>
  <si>
    <t>Men's 1m Springboard Preliminary - Round 4</t>
  </si>
  <si>
    <t>Men's 1m Springboard Preliminary - Round 5</t>
  </si>
  <si>
    <t>Men's 1m Springboard Preliminary - Round 6</t>
  </si>
  <si>
    <t>Quick touch Warm Up - Women's 10m Platform Preliminary</t>
  </si>
  <si>
    <t xml:space="preserve">Sport Pres Fill </t>
  </si>
  <si>
    <t xml:space="preserve">Women's 10m Platform Preliminary </t>
  </si>
  <si>
    <t>DIVW10M---------------PREL000100--</t>
  </si>
  <si>
    <t>Women's 10m Platform Preliminary - Round 1</t>
  </si>
  <si>
    <t>Women's 10m Platform Preliminary - Round 2</t>
  </si>
  <si>
    <t>Women's 10m Platform Preliminary - Round 3</t>
  </si>
  <si>
    <t>Women's 10m Platform Preliminary - Round 4</t>
  </si>
  <si>
    <t>Women's 10m Platform Preliminary - Round 5</t>
  </si>
  <si>
    <t>DIV Dryland Open Training commences</t>
  </si>
  <si>
    <t>DIV0702</t>
  </si>
  <si>
    <t>Men's 1m Springboard Final</t>
  </si>
  <si>
    <t>DIVM1M----------------FNL-000100--</t>
  </si>
  <si>
    <t>Men's 1m Springboard Final - Round 1</t>
  </si>
  <si>
    <t>Men's 1m Springboard Final - Round 2</t>
  </si>
  <si>
    <t>Men's 1m Springboard Final - Round 3</t>
  </si>
  <si>
    <t>Men's 1m Springboard Final - Round 4</t>
  </si>
  <si>
    <t>Men's 1m Springboard Final - Round 5</t>
  </si>
  <si>
    <t>Men's 1m Springboard Final - Round 6</t>
  </si>
  <si>
    <t>Quick touch Warm Up - Women's 10m Platform Final</t>
  </si>
  <si>
    <t>Women's 10m Platform Final</t>
  </si>
  <si>
    <t>DIVW10M---------------FNL-000100--</t>
  </si>
  <si>
    <t>Women's 10m Platform Final - Round 1</t>
  </si>
  <si>
    <t>Women's 10m Platform Final - Round 2</t>
  </si>
  <si>
    <t>Women's 10m Platform Final - Round 3</t>
  </si>
  <si>
    <t>Women's 10m Platform Final - Round 4</t>
  </si>
  <si>
    <t>Women's 10m Platform Final - Round 5</t>
  </si>
  <si>
    <t>Preparation for Medal Ceremonies</t>
  </si>
  <si>
    <t>Men's 1m Springboard Medal Ceremony</t>
  </si>
  <si>
    <t>DIVM1M----------------VICTMEDAL---</t>
  </si>
  <si>
    <t>Women's 10m Platform Medal Ceremony</t>
  </si>
  <si>
    <t>DIVW10M---------------VICTMEDAL---</t>
  </si>
  <si>
    <t>Birmingham 2022 DCAS - AQUATICS - DIVING - FRIDAY 05 AUGUST 2022</t>
  </si>
  <si>
    <t>DIV Dryland Open/Group Training commences</t>
  </si>
  <si>
    <t>DIV Pool Open/Group Training commences</t>
  </si>
  <si>
    <t>DIV0803</t>
  </si>
  <si>
    <t xml:space="preserve">Women's 1m Springboard Preliminary </t>
  </si>
  <si>
    <t>DIVW1M----------------PREL000100--</t>
  </si>
  <si>
    <t>Women's 1m Springboard Preliminary - Round 1</t>
  </si>
  <si>
    <t>Women's 1m Springboard Preliminary - Round 2</t>
  </si>
  <si>
    <t>Women's 1m Springboard Preliminary - Round 3</t>
  </si>
  <si>
    <t>Women's 1m Springboard Preliminary - Round 4</t>
  </si>
  <si>
    <t>Women's 1m Springboard Preliminary - Round 5</t>
  </si>
  <si>
    <t>Quick touch Warm Up - Men's 3m Synchronised Springboard Final</t>
  </si>
  <si>
    <t>Men's 3m Synchronised Springboard Final</t>
  </si>
  <si>
    <t>DIVM3MTEAM2-----------FNL-000100--</t>
  </si>
  <si>
    <t>Men's 3m Synchronised Springboard Final - Round 1</t>
  </si>
  <si>
    <t>Men's 3m Synchronised Springboard Final - Round 2</t>
  </si>
  <si>
    <t>Men's 3m Synchronised Springboard Final - Round 3</t>
  </si>
  <si>
    <t>Men's 3m Synchronised Springboard Final - Round 4</t>
  </si>
  <si>
    <t>Men's 3m Synchronised Springboard Final - Round 5</t>
  </si>
  <si>
    <t>Men's 3m Synchronised Springboard Final - Round 6</t>
  </si>
  <si>
    <t>Men's 3m Synchronised Springboard Medal Ceremony</t>
  </si>
  <si>
    <t>DIVM3MTEAM2-----------VICTMEDAL---</t>
  </si>
  <si>
    <t>DIV Pool Open Training commences</t>
  </si>
  <si>
    <t>DIV0804</t>
  </si>
  <si>
    <t>Women's 1m Springboard Final</t>
  </si>
  <si>
    <t>DIVW1M----------------FNL-000100--</t>
  </si>
  <si>
    <t>Women's 1m Springboard Final - Round 1</t>
  </si>
  <si>
    <t>Women's 1m Springboard Final - Round 2</t>
  </si>
  <si>
    <t>Women's 1m Springboard Final - Round 3</t>
  </si>
  <si>
    <t>Women's 1m Springboard Final - Round 4</t>
  </si>
  <si>
    <t>Women's 1m Springboard Final - Round 5</t>
  </si>
  <si>
    <t>Quick touch Warm Up - Men's 10m Synchronised Platform Final</t>
  </si>
  <si>
    <t>Men's 10m Synchronised Platform Final</t>
  </si>
  <si>
    <t>DIVM10MTEAM2----------FNL-000100--</t>
  </si>
  <si>
    <t>Men's 10m Synchronised Platform Final - Round 1</t>
  </si>
  <si>
    <t>Men's 10m Synchronised Platform Final - Round 2</t>
  </si>
  <si>
    <t>Men's 10m Synchronised Platform Final - Round 3</t>
  </si>
  <si>
    <t>Men's 10m Synchronised Platform Final - Round 4</t>
  </si>
  <si>
    <t>Men's 10m Synchronised Platform Final - Round 5</t>
  </si>
  <si>
    <t>Men's 10m Synchronised Platform Final - Round 6</t>
  </si>
  <si>
    <t>Women's 1m Springboard Medal Ceremony</t>
  </si>
  <si>
    <t>DIVW1M----------------VICTMEDAL---</t>
  </si>
  <si>
    <t>Men's 10m Synchronised Platform Medal Ceremony</t>
  </si>
  <si>
    <t>DIVM10MTEAM2----------VICTMEDAL---</t>
  </si>
  <si>
    <t>Birmingham 2022 DCAS - AQUATICS - DIVING - SATURDAY 06 AUGUST 2022</t>
  </si>
  <si>
    <t>DIV0905</t>
  </si>
  <si>
    <t xml:space="preserve">Men's 3m Springboard Preliminary </t>
  </si>
  <si>
    <t>DIVM3M----------------PREL000100--</t>
  </si>
  <si>
    <t>Men's 3m Springboard Preliminary - Round 1</t>
  </si>
  <si>
    <t>Men's 3m Springboard Preliminary - Round 2</t>
  </si>
  <si>
    <t>Men's 3m Springboard Preliminary - Round 3</t>
  </si>
  <si>
    <t>Men's 3m Springboard Preliminary - Round 4</t>
  </si>
  <si>
    <t>Men's 3m Springboard Preliminary - Round 5</t>
  </si>
  <si>
    <t>Men's 3m Springboard Preliminary - Round 6</t>
  </si>
  <si>
    <t>Quick touch Warm Up - Women's 3m Synchronised Springboard Final</t>
  </si>
  <si>
    <t>Women's 3m Synchronised Springboard Final</t>
  </si>
  <si>
    <t>Women's 3m Synchronised Springboard Final - Round 1</t>
  </si>
  <si>
    <t>DIVW3MTEAM2-----------FNL-000100--</t>
  </si>
  <si>
    <t>Women's 3m Synchronised Springboard Final - Round 2</t>
  </si>
  <si>
    <t>Women's 3m Synchronised Springboard Final - Round 3</t>
  </si>
  <si>
    <t>Women's 3m Synchronised Springboard Final - Round 4</t>
  </si>
  <si>
    <t>Women's 3m Synchronised Springboard Final - Round 5</t>
  </si>
  <si>
    <t>Women's 3m Synchronised Springboard Medal Ceremony</t>
  </si>
  <si>
    <t>DIVW3MTEAM2-----------VICTMEDAL---</t>
  </si>
  <si>
    <t>DIV0906</t>
  </si>
  <si>
    <t>Men's 3m Springboard Final</t>
  </si>
  <si>
    <t>DIVM3M----------------FNL-000100--</t>
  </si>
  <si>
    <t>Men's 3m Springboard Final - Round 1</t>
  </si>
  <si>
    <t>Men's 3m Springboard Final - Round 2</t>
  </si>
  <si>
    <t>Men's 3m Springboard Final - Round 3</t>
  </si>
  <si>
    <t>Men's 3m Springboard Final - Round 4</t>
  </si>
  <si>
    <t>Men's 3m Springboard Final - Round 5</t>
  </si>
  <si>
    <t>Men's 3m Springboard Final - Round 6</t>
  </si>
  <si>
    <t>Women's 10m Synchronised Platform Final</t>
  </si>
  <si>
    <t>DIVW10MTEAM2----------FNL-000100--</t>
  </si>
  <si>
    <t>Women's 10m Synchronised Platform Final - Round 1</t>
  </si>
  <si>
    <t>Women's 10m Synchronised Platform Final - Round 2</t>
  </si>
  <si>
    <t>Women's 10m Synchronised Platform Final - Round 3</t>
  </si>
  <si>
    <t>Women's 10m Synchronised Platform Final - Round 4</t>
  </si>
  <si>
    <t>Women's 10m Synchronised Platform Final - Round 5</t>
  </si>
  <si>
    <t>Men's 3m Springboard Medal Ceremony</t>
  </si>
  <si>
    <t>DIVM3M----------------VICTMEDAL---</t>
  </si>
  <si>
    <t>Women's 10m Synchronised Platform Medal Ceremony</t>
  </si>
  <si>
    <t>DIVW10MTEAM2----------VICTMEDAL---</t>
  </si>
  <si>
    <t>Birmingham 2022 DCAS - AQUATICS - DIVING - SUNDAY 07 AUGUST 2022</t>
  </si>
  <si>
    <t>DIV1007</t>
  </si>
  <si>
    <t xml:space="preserve">Men's 10m Platform Preliminary </t>
  </si>
  <si>
    <t>DIVM10M---------------PREL000100--</t>
  </si>
  <si>
    <t>Men's 10m Platform Preliminary - Round 1</t>
  </si>
  <si>
    <t>Men's 10m Platform Preliminary - Round 2</t>
  </si>
  <si>
    <t>Men's 10m Platform Preliminary - Round 3</t>
  </si>
  <si>
    <t>Men's 10m Platform Preliminary - Round 4</t>
  </si>
  <si>
    <t>Men's 10m Platform Preliminary - Round 5</t>
  </si>
  <si>
    <t>Men's 10m Platform Preliminary - Round 6</t>
  </si>
  <si>
    <t>Quick touch Warm Up - Women's 3m Springboard Preliminary</t>
  </si>
  <si>
    <t>Women's 3m Springboard Preliminary</t>
  </si>
  <si>
    <t>DIVW3M----------------PREL000100--</t>
  </si>
  <si>
    <t>Women's 3m Springboard Preliminary - Round 1</t>
  </si>
  <si>
    <t>Women's 3m Springboard Preliminary - Round 2</t>
  </si>
  <si>
    <t>Women's 3m Springboard Preliminary - Round 3</t>
  </si>
  <si>
    <t>Women's 3m Springboard Preliminary - Round 4</t>
  </si>
  <si>
    <t>Women's 3m Springboard Preliminary - Round 5</t>
  </si>
  <si>
    <t>DIV1008</t>
  </si>
  <si>
    <t>Men's 10m Platform Final</t>
  </si>
  <si>
    <t>DIVM10M---------------FNL-000100--</t>
  </si>
  <si>
    <t>Men's 10m Platform Final - Round 1</t>
  </si>
  <si>
    <t>Men's 10m Platform Final - Round 2</t>
  </si>
  <si>
    <t>Men's 10m Platform Final - Round 3</t>
  </si>
  <si>
    <t>Men's 10m Platform Final - Round 4</t>
  </si>
  <si>
    <t>Men's 10m Platform Final - Round 5</t>
  </si>
  <si>
    <t>Men's 10m Platform Final - Round 6</t>
  </si>
  <si>
    <t>Quick touch Warm Up - Women's 3m Springboard Final</t>
  </si>
  <si>
    <t>Women's 3m Springboard Final</t>
  </si>
  <si>
    <t>DIVW3M----------------FNL-000100--</t>
  </si>
  <si>
    <t>Women's 3m Springboard Final - Round 1</t>
  </si>
  <si>
    <t>Women's 3m Springboard Final - Round 2</t>
  </si>
  <si>
    <t>Women's 3m Springboard Final - Round 3</t>
  </si>
  <si>
    <t>Women's 3m Springboard Final - Round 4</t>
  </si>
  <si>
    <t>Women's 3m Springboard Final - Round 5</t>
  </si>
  <si>
    <t>Men's 10m Platform Medal Ceremony</t>
  </si>
  <si>
    <t>DIVM10M---------------VICTMEDAL---</t>
  </si>
  <si>
    <t>Women's 3m Springboard Medal Ceremony</t>
  </si>
  <si>
    <t>DIVW3M----------------VICTMEDAL---</t>
  </si>
  <si>
    <t>Birmingham 2022 DCAS - AQUATICS - DIVING - MONDAY 08 AUGUST 2022</t>
  </si>
  <si>
    <t>DIV1109</t>
  </si>
  <si>
    <t>Mixed 3m Synchronised Springboard Final</t>
  </si>
  <si>
    <t>DIVX3MTEAM2-----------FNL-000100--</t>
  </si>
  <si>
    <t>Mixed 3m Synchronised Springboard Final - Round 1</t>
  </si>
  <si>
    <t>Mixed 3m Synchronised Springboard Final - Round 2</t>
  </si>
  <si>
    <t>Mixed 3m Synchronised Springboard Final - Round 3</t>
  </si>
  <si>
    <t>Mixed 3m Synchronised Springboard Final - Round 4</t>
  </si>
  <si>
    <t>Mixed 3m Synchronised Springboard Final - Round 5</t>
  </si>
  <si>
    <t xml:space="preserve">Quick touch Warm Up - Mixed 10m Synchronised Platform Final </t>
  </si>
  <si>
    <t>Mixed 10m Synchronised Platform Final</t>
  </si>
  <si>
    <t>DIVX10MTEAM2----------FNL-000100--</t>
  </si>
  <si>
    <t>Mixed 10m Synchronised Platform Final - Round 1</t>
  </si>
  <si>
    <t>Mixed 10m Synchronised Platform Final - Round 2</t>
  </si>
  <si>
    <t>Mixed 10m Synchronised Platform Final - Round 3</t>
  </si>
  <si>
    <t>Mixed 10m Synchronised Platform Final - Round 4</t>
  </si>
  <si>
    <t>Mixed 10m Synchronised Platform Final - Round 5</t>
  </si>
  <si>
    <t>Mixed 3m Synchronised Springboard Medal Ceremony</t>
  </si>
  <si>
    <t>DIVX3MTEAM2-----------VICTMEDAL---</t>
  </si>
  <si>
    <t>Mixed 10m Synchronised Platform Medal Ceremony</t>
  </si>
  <si>
    <t>DIVX10MTEAM2----------VICTMEDAL---</t>
  </si>
  <si>
    <t>SWMM100MBA--09020-----FNL-000100--</t>
  </si>
  <si>
    <t>SWMW100MFR--09020-----FNL-000100--</t>
  </si>
  <si>
    <t>Women's 100m Breaststroke Semi-Final 1</t>
  </si>
  <si>
    <t>Women's 100m Breaststroke Semi-Final 2</t>
  </si>
  <si>
    <t>SWMW100MBR------------SFNL000100--</t>
  </si>
  <si>
    <t>SWMW100MBR------------SFNL000200--</t>
  </si>
  <si>
    <t>SWMM4X100MMD----------HEAT000100--</t>
  </si>
  <si>
    <t>SWMW100MBR------------FNL-000100--</t>
  </si>
  <si>
    <t>SWMW200MFR------------HEAT000400--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</si>
</sst>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sz val="8"/>
      <name val="Arial Nova Cond"/>
      <family val="2"/>
    </font>
    <font>
      <b/>
      <sz val="14"/>
      <color theme="1"/>
      <name val="Arial Nova Cond"/>
      <family val="2"/>
    </font>
    <font>
      <sz val="11"/>
      <color rgb="FFFF0000"/>
      <name val="Arial Nova Cond"/>
      <family val="2"/>
    </font>
    <font>
      <b/>
      <sz val="11"/>
      <color rgb="FFFF0000"/>
      <name val="Arial Nova Cond"/>
      <family val="2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  <font>
      <b/>
      <i/>
      <sz val="11"/>
      <color rgb="FFFFFFFF"/>
      <name val="Arial Narrow"/>
      <family val="2"/>
    </font>
    <font>
      <b/>
      <sz val="11"/>
      <color rgb="FFFFFFFF"/>
      <name val="Arial Narrow"/>
      <family val="2"/>
    </font>
    <font>
      <i/>
      <sz val="11"/>
      <color rgb="FF000000"/>
      <name val="Arial Narrow"/>
      <family val="2"/>
    </font>
    <font>
      <i/>
      <sz val="11"/>
      <color rgb="FFFFFFFF"/>
      <name val="Arial Narrow"/>
      <family val="2"/>
    </font>
    <font>
      <i/>
      <sz val="11"/>
      <color theme="1"/>
      <name val="Arial Nova Cond"/>
      <family val="2"/>
    </font>
    <font>
      <sz val="11"/>
      <color indexed="8"/>
      <name val="Arial Nova Cond"/>
      <family val="2"/>
    </font>
    <font>
      <sz val="11"/>
      <name val="Arial Nova Cond"/>
      <family val="2"/>
    </font>
    <font>
      <sz val="11"/>
      <color rgb="FF000000"/>
      <name val="Arial Nova Cond"/>
      <family val="2"/>
    </font>
    <font>
      <sz val="11"/>
      <color theme="1"/>
      <name val="Arial Nova"/>
      <family val="2"/>
    </font>
    <font>
      <sz val="11"/>
      <color indexed="8"/>
      <name val="Courier"/>
      <family val="1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595959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1" xfId="0" applyFill="1" applyBorder="1"/>
    <xf numFmtId="20" fontId="0" fillId="0" borderId="0" xfId="0" applyNumberFormat="1"/>
    <xf numFmtId="0" fontId="0" fillId="0" borderId="0" xfId="0" applyProtection="1">
      <protection locked="0"/>
    </xf>
    <xf numFmtId="20" fontId="0" fillId="0" borderId="0" xfId="0" applyNumberFormat="1" applyProtection="1">
      <protection locked="0"/>
    </xf>
    <xf numFmtId="0" fontId="1" fillId="0" borderId="1" xfId="0" applyFont="1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1" fillId="3" borderId="0" xfId="0" applyFont="1" applyFill="1"/>
    <xf numFmtId="0" fontId="1" fillId="4" borderId="0" xfId="0" applyFont="1" applyFill="1" applyAlignment="1">
      <alignment wrapText="1"/>
    </xf>
    <xf numFmtId="0" fontId="1" fillId="4" borderId="0" xfId="0" applyFont="1" applyFill="1"/>
    <xf numFmtId="0" fontId="1" fillId="5" borderId="0" xfId="0" applyFont="1" applyFill="1" applyAlignment="1">
      <alignment wrapText="1"/>
    </xf>
    <xf numFmtId="0" fontId="1" fillId="5" borderId="0" xfId="0" applyFont="1" applyFill="1"/>
    <xf numFmtId="0" fontId="1" fillId="6" borderId="1" xfId="0" applyFont="1" applyFill="1" applyBorder="1"/>
    <xf numFmtId="0" fontId="1" fillId="0" borderId="2" xfId="0" applyFont="1" applyBorder="1"/>
    <xf numFmtId="0" fontId="0" fillId="0" borderId="1" xfId="0" applyBorder="1"/>
    <xf numFmtId="0" fontId="1" fillId="7" borderId="1" xfId="0" applyFont="1" applyFill="1" applyBorder="1"/>
    <xf numFmtId="0" fontId="0" fillId="0" borderId="1" xfId="0" applyBorder="1" applyAlignment="1">
      <alignment wrapText="1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10" fillId="0" borderId="0" xfId="0" applyFont="1"/>
    <xf numFmtId="0" fontId="11" fillId="9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2" fillId="0" borderId="1" xfId="0" applyFont="1" applyBorder="1"/>
    <xf numFmtId="0" fontId="0" fillId="10" borderId="1" xfId="0" applyFill="1" applyBorder="1"/>
    <xf numFmtId="0" fontId="0" fillId="0" borderId="1" xfId="0" applyBorder="1" applyAlignment="1">
      <alignment vertical="center"/>
    </xf>
    <xf numFmtId="0" fontId="0" fillId="11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13" fillId="0" borderId="1" xfId="0" applyFont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0" fillId="10" borderId="1" xfId="0" applyFill="1" applyBorder="1" applyAlignment="1">
      <alignment horizontal="center"/>
    </xf>
    <xf numFmtId="21" fontId="0" fillId="10" borderId="1" xfId="0" applyNumberFormat="1" applyFill="1" applyBorder="1"/>
    <xf numFmtId="164" fontId="0" fillId="10" borderId="1" xfId="0" applyNumberFormat="1" applyFill="1" applyBorder="1" applyAlignment="1">
      <alignment horizontal="center"/>
    </xf>
    <xf numFmtId="21" fontId="1" fillId="10" borderId="1" xfId="0" applyNumberFormat="1" applyFont="1" applyFill="1" applyBorder="1" applyAlignment="1">
      <alignment horizontal="center"/>
    </xf>
    <xf numFmtId="21" fontId="0" fillId="10" borderId="1" xfId="0" applyNumberFormat="1" applyFill="1" applyBorder="1" applyAlignment="1">
      <alignment horizontal="center"/>
    </xf>
    <xf numFmtId="21" fontId="0" fillId="3" borderId="1" xfId="0" applyNumberFormat="1" applyFill="1" applyBorder="1" applyAlignment="1">
      <alignment horizontal="center"/>
    </xf>
    <xf numFmtId="21" fontId="0" fillId="4" borderId="1" xfId="0" applyNumberFormat="1" applyFill="1" applyBorder="1" applyAlignment="1">
      <alignment horizontal="center"/>
    </xf>
    <xf numFmtId="21" fontId="0" fillId="5" borderId="1" xfId="0" applyNumberFormat="1" applyFill="1" applyBorder="1" applyAlignment="1">
      <alignment horizontal="center"/>
    </xf>
    <xf numFmtId="21" fontId="0" fillId="0" borderId="0" xfId="0" applyNumberFormat="1" applyAlignment="1">
      <alignment horizontal="center"/>
    </xf>
    <xf numFmtId="21" fontId="1" fillId="4" borderId="1" xfId="0" applyNumberFormat="1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21" fontId="0" fillId="12" borderId="1" xfId="0" applyNumberFormat="1" applyFill="1" applyBorder="1" applyAlignment="1">
      <alignment horizontal="center"/>
    </xf>
    <xf numFmtId="0" fontId="0" fillId="12" borderId="1" xfId="0" applyFill="1" applyBorder="1"/>
    <xf numFmtId="0" fontId="15" fillId="0" borderId="1" xfId="0" applyFont="1" applyBorder="1"/>
    <xf numFmtId="0" fontId="0" fillId="13" borderId="1" xfId="0" applyFill="1" applyBorder="1"/>
    <xf numFmtId="0" fontId="14" fillId="13" borderId="1" xfId="0" applyFont="1" applyFill="1" applyBorder="1" applyAlignment="1">
      <alignment horizontal="left"/>
    </xf>
    <xf numFmtId="21" fontId="1" fillId="5" borderId="1" xfId="0" applyNumberFormat="1" applyFont="1" applyFill="1" applyBorder="1" applyAlignment="1">
      <alignment horizontal="center"/>
    </xf>
    <xf numFmtId="21" fontId="1" fillId="3" borderId="1" xfId="0" applyNumberFormat="1" applyFont="1" applyFill="1" applyBorder="1" applyAlignment="1">
      <alignment horizontal="center"/>
    </xf>
    <xf numFmtId="21" fontId="0" fillId="3" borderId="1" xfId="0" applyNumberFormat="1" applyFill="1" applyBorder="1"/>
    <xf numFmtId="21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4" fillId="0" borderId="1" xfId="0" applyFont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21" fontId="1" fillId="4" borderId="1" xfId="0" applyNumberFormat="1" applyFont="1" applyFill="1" applyBorder="1"/>
    <xf numFmtId="20" fontId="1" fillId="0" borderId="0" xfId="0" applyNumberFormat="1" applyFont="1"/>
    <xf numFmtId="0" fontId="1" fillId="0" borderId="0" xfId="0" applyFont="1" applyProtection="1">
      <protection locked="0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21" fontId="1" fillId="3" borderId="1" xfId="0" applyNumberFormat="1" applyFont="1" applyFill="1" applyBorder="1"/>
    <xf numFmtId="21" fontId="1" fillId="5" borderId="1" xfId="0" applyNumberFormat="1" applyFont="1" applyFill="1" applyBorder="1"/>
    <xf numFmtId="164" fontId="1" fillId="5" borderId="1" xfId="0" applyNumberFormat="1" applyFont="1" applyFill="1" applyBorder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0" fillId="14" borderId="1" xfId="0" applyFill="1" applyBorder="1" applyAlignment="1">
      <alignment horizontal="center"/>
    </xf>
    <xf numFmtId="0" fontId="0" fillId="14" borderId="1" xfId="0" applyFill="1" applyBorder="1"/>
    <xf numFmtId="0" fontId="0" fillId="14" borderId="1" xfId="0" applyFill="1" applyBorder="1" applyAlignment="1">
      <alignment wrapText="1"/>
    </xf>
    <xf numFmtId="0" fontId="0" fillId="14" borderId="0" xfId="0" applyFill="1"/>
    <xf numFmtId="20" fontId="0" fillId="14" borderId="0" xfId="0" applyNumberFormat="1" applyFill="1"/>
    <xf numFmtId="0" fontId="0" fillId="14" borderId="0" xfId="0" applyFill="1" applyProtection="1">
      <protection locked="0"/>
    </xf>
    <xf numFmtId="0" fontId="16" fillId="4" borderId="1" xfId="0" applyFont="1" applyFill="1" applyBorder="1"/>
    <xf numFmtId="0" fontId="13" fillId="0" borderId="0" xfId="0" applyFont="1"/>
    <xf numFmtId="0" fontId="13" fillId="11" borderId="1" xfId="0" applyFont="1" applyFill="1" applyBorder="1"/>
    <xf numFmtId="0" fontId="17" fillId="0" borderId="1" xfId="0" applyFont="1" applyBorder="1"/>
    <xf numFmtId="0" fontId="14" fillId="0" borderId="1" xfId="0" applyFont="1" applyBorder="1" applyAlignment="1">
      <alignment wrapText="1"/>
    </xf>
    <xf numFmtId="0" fontId="0" fillId="15" borderId="1" xfId="0" applyFill="1" applyBorder="1" applyAlignment="1">
      <alignment horizontal="center"/>
    </xf>
    <xf numFmtId="21" fontId="0" fillId="15" borderId="1" xfId="0" applyNumberFormat="1" applyFill="1" applyBorder="1" applyAlignment="1">
      <alignment horizontal="center"/>
    </xf>
    <xf numFmtId="21" fontId="4" fillId="10" borderId="1" xfId="0" applyNumberFormat="1" applyFont="1" applyFill="1" applyBorder="1"/>
    <xf numFmtId="164" fontId="0" fillId="10" borderId="1" xfId="0" applyNumberFormat="1" applyFill="1" applyBorder="1"/>
    <xf numFmtId="21" fontId="14" fillId="10" borderId="1" xfId="0" applyNumberFormat="1" applyFont="1" applyFill="1" applyBorder="1"/>
    <xf numFmtId="21" fontId="4" fillId="10" borderId="1" xfId="0" applyNumberFormat="1" applyFont="1" applyFill="1" applyBorder="1" applyAlignment="1">
      <alignment horizontal="center"/>
    </xf>
    <xf numFmtId="0" fontId="0" fillId="11" borderId="1" xfId="0" applyFill="1" applyBorder="1" applyProtection="1">
      <protection locked="0"/>
    </xf>
    <xf numFmtId="0" fontId="0" fillId="11" borderId="5" xfId="0" applyFill="1" applyBorder="1"/>
    <xf numFmtId="0" fontId="0" fillId="5" borderId="0" xfId="0" applyFill="1" applyAlignment="1" applyProtection="1">
      <alignment horizontal="center"/>
      <protection locked="0"/>
    </xf>
    <xf numFmtId="21" fontId="5" fillId="3" borderId="1" xfId="0" applyNumberFormat="1" applyFont="1" applyFill="1" applyBorder="1"/>
    <xf numFmtId="20" fontId="0" fillId="3" borderId="1" xfId="0" applyNumberFormat="1" applyFill="1" applyBorder="1"/>
    <xf numFmtId="20" fontId="0" fillId="4" borderId="1" xfId="0" applyNumberFormat="1" applyFill="1" applyBorder="1"/>
    <xf numFmtId="20" fontId="0" fillId="11" borderId="1" xfId="0" applyNumberFormat="1" applyFill="1" applyBorder="1"/>
    <xf numFmtId="20" fontId="0" fillId="5" borderId="1" xfId="0" applyNumberFormat="1" applyFill="1" applyBorder="1"/>
    <xf numFmtId="20" fontId="0" fillId="11" borderId="3" xfId="0" applyNumberFormat="1" applyFill="1" applyBorder="1"/>
    <xf numFmtId="20" fontId="1" fillId="3" borderId="1" xfId="0" applyNumberFormat="1" applyFont="1" applyFill="1" applyBorder="1"/>
    <xf numFmtId="20" fontId="1" fillId="5" borderId="1" xfId="0" applyNumberFormat="1" applyFont="1" applyFill="1" applyBorder="1"/>
    <xf numFmtId="20" fontId="0" fillId="11" borderId="1" xfId="0" applyNumberFormat="1" applyFill="1" applyBorder="1" applyProtection="1">
      <protection locked="0"/>
    </xf>
    <xf numFmtId="20" fontId="0" fillId="11" borderId="4" xfId="0" applyNumberFormat="1" applyFill="1" applyBorder="1"/>
    <xf numFmtId="20" fontId="0" fillId="11" borderId="5" xfId="0" applyNumberFormat="1" applyFill="1" applyBorder="1"/>
    <xf numFmtId="20" fontId="0" fillId="5" borderId="5" xfId="0" applyNumberFormat="1" applyFill="1" applyBorder="1"/>
    <xf numFmtId="20" fontId="1" fillId="4" borderId="1" xfId="0" applyNumberFormat="1" applyFont="1" applyFill="1" applyBorder="1"/>
    <xf numFmtId="21" fontId="0" fillId="10" borderId="1" xfId="0" applyNumberFormat="1" applyFill="1" applyBorder="1" applyAlignment="1">
      <alignment horizontal="right"/>
    </xf>
    <xf numFmtId="0" fontId="0" fillId="0" borderId="1" xfId="0" applyFont="1" applyFill="1" applyBorder="1" applyAlignment="1">
      <alignment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1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1EE5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spt/scm/Shared%20Documents/Sports/AQU%20-%20Aquatics/Competition%20Schedule/2.%20Swimming/DCAS/2022-CWG%20Swim%20Timeline%20draft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spt/scm/Shared%20Documents/Sports/AQU%20-%20Aquatics/Competition%20Schedule/RTS%20CC%20V0.59%20Filtered%20by%20SWM%20and%20DI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re Race Times"/>
      <sheetName val="Total Race Times"/>
      <sheetName val="Daily Summary"/>
      <sheetName val="Finalv2"/>
      <sheetName val="Day 1-H"/>
      <sheetName val="Day 1-F"/>
      <sheetName val="Day 2-H"/>
      <sheetName val="Day 2-F"/>
      <sheetName val="Day 3-H"/>
      <sheetName val="Day 3-F"/>
      <sheetName val="Day 4-H "/>
      <sheetName val="Day 4-F "/>
      <sheetName val="Day 5-H "/>
      <sheetName val="Day 5-F"/>
      <sheetName val="Day 6-H "/>
      <sheetName val="Day 6-F "/>
    </sheetNames>
    <sheetDataSet>
      <sheetData sheetId="0"/>
      <sheetData sheetId="1"/>
      <sheetData sheetId="2"/>
      <sheetData sheetId="3"/>
      <sheetData sheetId="4">
        <row r="10">
          <cell r="D10">
            <v>0.4375</v>
          </cell>
        </row>
        <row r="13">
          <cell r="D13">
            <v>0.44155092592592599</v>
          </cell>
        </row>
        <row r="16">
          <cell r="D16">
            <v>0.44521990740740752</v>
          </cell>
        </row>
        <row r="20">
          <cell r="D20">
            <v>0.44937500000000019</v>
          </cell>
        </row>
        <row r="23">
          <cell r="D23">
            <v>0.45453703703703724</v>
          </cell>
        </row>
        <row r="27">
          <cell r="D27">
            <v>0.45920138888888912</v>
          </cell>
        </row>
        <row r="30">
          <cell r="D30">
            <v>0.46253472222222247</v>
          </cell>
        </row>
        <row r="33">
          <cell r="D33">
            <v>0.46503472222222253</v>
          </cell>
        </row>
        <row r="36">
          <cell r="D36">
            <v>0.46753472222222259</v>
          </cell>
        </row>
        <row r="44">
          <cell r="D44">
            <v>0.47047453703703745</v>
          </cell>
        </row>
        <row r="47">
          <cell r="D47">
            <v>0.47277777777777824</v>
          </cell>
        </row>
        <row r="51">
          <cell r="D51">
            <v>0.47508101851851903</v>
          </cell>
        </row>
        <row r="54">
          <cell r="D54">
            <v>0.47688657407407459</v>
          </cell>
        </row>
        <row r="57">
          <cell r="D57">
            <v>0.47813657407407462</v>
          </cell>
        </row>
        <row r="60">
          <cell r="D60">
            <v>0.47937500000000061</v>
          </cell>
        </row>
        <row r="63">
          <cell r="D63">
            <v>0.4806018518518525</v>
          </cell>
        </row>
        <row r="66">
          <cell r="D66">
            <v>0.48181712962963036</v>
          </cell>
        </row>
        <row r="69">
          <cell r="D69">
            <v>0.48303240740740822</v>
          </cell>
        </row>
        <row r="73">
          <cell r="D73">
            <v>0.48471064814814901</v>
          </cell>
        </row>
        <row r="76">
          <cell r="D76">
            <v>0.4867939814814824</v>
          </cell>
        </row>
        <row r="79">
          <cell r="D79">
            <v>0.48818287037037134</v>
          </cell>
        </row>
        <row r="82">
          <cell r="D82">
            <v>0.48952546296296401</v>
          </cell>
        </row>
        <row r="85">
          <cell r="D85">
            <v>0.49086805555555668</v>
          </cell>
        </row>
        <row r="89">
          <cell r="D89">
            <v>0.4926736111111123</v>
          </cell>
        </row>
        <row r="92">
          <cell r="D92">
            <v>0.49493055555555676</v>
          </cell>
        </row>
        <row r="95">
          <cell r="D95">
            <v>0.49658564814814943</v>
          </cell>
        </row>
        <row r="98">
          <cell r="D98">
            <v>0.49820601851851987</v>
          </cell>
        </row>
        <row r="101">
          <cell r="D101">
            <v>0.49981481481481621</v>
          </cell>
        </row>
        <row r="105">
          <cell r="D105">
            <v>0.5018750000000014</v>
          </cell>
        </row>
        <row r="108">
          <cell r="D108">
            <v>0.50439814814814954</v>
          </cell>
        </row>
        <row r="111">
          <cell r="D111">
            <v>0.50612268518518655</v>
          </cell>
        </row>
        <row r="114">
          <cell r="D114">
            <v>0.50778935185185325</v>
          </cell>
        </row>
        <row r="117">
          <cell r="D117">
            <v>0.50944444444444581</v>
          </cell>
        </row>
        <row r="121">
          <cell r="D121">
            <v>0.51156250000000136</v>
          </cell>
        </row>
        <row r="124">
          <cell r="D124">
            <v>0.51493055555555689</v>
          </cell>
        </row>
        <row r="127">
          <cell r="D127">
            <v>0.5176388888888902</v>
          </cell>
        </row>
        <row r="131">
          <cell r="D131">
            <v>0.52125000000000132</v>
          </cell>
        </row>
        <row r="134">
          <cell r="D134">
            <v>0.52582175925926056</v>
          </cell>
        </row>
        <row r="137">
          <cell r="D137">
            <v>0.52973379629629758</v>
          </cell>
        </row>
        <row r="141">
          <cell r="D141">
            <v>0.53401620370370506</v>
          </cell>
        </row>
        <row r="142">
          <cell r="D142">
            <v>0.53505787037037178</v>
          </cell>
        </row>
      </sheetData>
      <sheetData sheetId="5">
        <row r="11">
          <cell r="C11">
            <v>0.79652777777777783</v>
          </cell>
        </row>
        <row r="15">
          <cell r="C15">
            <v>0.80254629629629637</v>
          </cell>
        </row>
        <row r="19">
          <cell r="C19">
            <v>0.80953703703703717</v>
          </cell>
        </row>
        <row r="23">
          <cell r="C23">
            <v>0.81462962962962981</v>
          </cell>
        </row>
        <row r="24">
          <cell r="C24">
            <v>0.81983796296296318</v>
          </cell>
        </row>
        <row r="25">
          <cell r="C25">
            <v>0.82504629629629656</v>
          </cell>
        </row>
        <row r="29">
          <cell r="C29">
            <v>0.82967592592592632</v>
          </cell>
        </row>
        <row r="33">
          <cell r="C33">
            <v>0.83430555555555608</v>
          </cell>
        </row>
        <row r="34">
          <cell r="C34">
            <v>0.83951388888888945</v>
          </cell>
        </row>
        <row r="38">
          <cell r="C38">
            <v>0.8431597222222228</v>
          </cell>
        </row>
        <row r="42">
          <cell r="C42">
            <v>0.84663194444444501</v>
          </cell>
        </row>
        <row r="46">
          <cell r="C46">
            <v>0.85027777777777835</v>
          </cell>
        </row>
        <row r="50">
          <cell r="C50">
            <v>0.85375000000000056</v>
          </cell>
        </row>
        <row r="51">
          <cell r="C51">
            <v>0.85895833333333393</v>
          </cell>
        </row>
        <row r="52">
          <cell r="C52">
            <v>0.8641666666666673</v>
          </cell>
        </row>
        <row r="56">
          <cell r="C56">
            <v>0.86831018518518588</v>
          </cell>
        </row>
        <row r="60">
          <cell r="C60">
            <v>0.87228009259259331</v>
          </cell>
        </row>
        <row r="64">
          <cell r="C64">
            <v>0.87634259259259339</v>
          </cell>
        </row>
        <row r="68">
          <cell r="C68">
            <v>0.88023148148148234</v>
          </cell>
        </row>
        <row r="72">
          <cell r="C72">
            <v>0.8854629629629639</v>
          </cell>
        </row>
        <row r="76">
          <cell r="C76">
            <v>0.89200231481481584</v>
          </cell>
        </row>
        <row r="77">
          <cell r="C77">
            <v>0.89721064814814921</v>
          </cell>
        </row>
        <row r="78">
          <cell r="C78">
            <v>0.90346064814814919</v>
          </cell>
        </row>
        <row r="79">
          <cell r="C79">
            <v>0.90450231481481591</v>
          </cell>
        </row>
      </sheetData>
      <sheetData sheetId="6">
        <row r="10">
          <cell r="D10">
            <v>0.4375</v>
          </cell>
        </row>
        <row r="13">
          <cell r="D13">
            <v>0.44016203703703705</v>
          </cell>
        </row>
        <row r="16">
          <cell r="D16">
            <v>0.44248842592592597</v>
          </cell>
        </row>
        <row r="19">
          <cell r="D19">
            <v>0.4447222222222223</v>
          </cell>
        </row>
        <row r="22">
          <cell r="D22">
            <v>0.44694444444444459</v>
          </cell>
        </row>
        <row r="29">
          <cell r="D29">
            <v>0.44961805555555573</v>
          </cell>
        </row>
        <row r="32">
          <cell r="D32">
            <v>0.45146990740740761</v>
          </cell>
        </row>
        <row r="35">
          <cell r="D35">
            <v>0.45275462962962987</v>
          </cell>
        </row>
        <row r="38">
          <cell r="D38">
            <v>0.45402777777777809</v>
          </cell>
        </row>
        <row r="41">
          <cell r="D41">
            <v>0.45528935185185221</v>
          </cell>
        </row>
        <row r="44">
          <cell r="D44">
            <v>0.45653935185185224</v>
          </cell>
        </row>
        <row r="47">
          <cell r="D47">
            <v>0.45778935185185227</v>
          </cell>
        </row>
        <row r="50">
          <cell r="D50">
            <v>0.45902777777777826</v>
          </cell>
        </row>
        <row r="53">
          <cell r="D53">
            <v>0.46026620370370425</v>
          </cell>
        </row>
        <row r="65">
          <cell r="D65">
            <v>0.46196759259259318</v>
          </cell>
        </row>
        <row r="68">
          <cell r="D68">
            <v>0.46435185185185246</v>
          </cell>
        </row>
        <row r="71">
          <cell r="D71">
            <v>0.46608796296296362</v>
          </cell>
        </row>
        <row r="74">
          <cell r="D74">
            <v>0.46776620370370442</v>
          </cell>
        </row>
        <row r="77">
          <cell r="D77">
            <v>0.46943287037037112</v>
          </cell>
        </row>
        <row r="81">
          <cell r="D81">
            <v>0.47156250000000077</v>
          </cell>
        </row>
        <row r="84">
          <cell r="D84">
            <v>0.47393518518518596</v>
          </cell>
        </row>
        <row r="87">
          <cell r="D87">
            <v>0.47567129629629712</v>
          </cell>
        </row>
        <row r="90">
          <cell r="D90">
            <v>0.47737268518518605</v>
          </cell>
        </row>
        <row r="97">
          <cell r="D97">
            <v>0.47953703703703793</v>
          </cell>
        </row>
        <row r="100">
          <cell r="D100">
            <v>0.48412037037037131</v>
          </cell>
        </row>
        <row r="108">
          <cell r="D108">
            <v>0.48917824074074173</v>
          </cell>
        </row>
        <row r="111">
          <cell r="D111">
            <v>0.4934027777777788</v>
          </cell>
        </row>
        <row r="115">
          <cell r="D115">
            <v>0.49763888888888996</v>
          </cell>
        </row>
        <row r="116">
          <cell r="D116">
            <v>0.49868055555555663</v>
          </cell>
        </row>
      </sheetData>
      <sheetData sheetId="7">
        <row r="11">
          <cell r="C11">
            <v>0.79652777777777783</v>
          </cell>
        </row>
        <row r="15">
          <cell r="C15">
            <v>0.80052083333333346</v>
          </cell>
        </row>
        <row r="19">
          <cell r="C19">
            <v>0.80459490740740758</v>
          </cell>
        </row>
        <row r="23">
          <cell r="C23">
            <v>0.80826388888888911</v>
          </cell>
        </row>
        <row r="27">
          <cell r="C27">
            <v>0.81175925925925951</v>
          </cell>
        </row>
        <row r="28">
          <cell r="C28">
            <v>0.81696759259259288</v>
          </cell>
        </row>
        <row r="29">
          <cell r="C29">
            <v>0.82217592592592625</v>
          </cell>
        </row>
        <row r="33">
          <cell r="C33">
            <v>0.82714120370370414</v>
          </cell>
        </row>
        <row r="37">
          <cell r="C37">
            <v>0.8313078703703709</v>
          </cell>
        </row>
        <row r="41">
          <cell r="C41">
            <v>0.83547453703703767</v>
          </cell>
        </row>
        <row r="45">
          <cell r="C45">
            <v>0.83959490740740805</v>
          </cell>
        </row>
        <row r="49">
          <cell r="C49">
            <v>0.8435416666666673</v>
          </cell>
        </row>
        <row r="50">
          <cell r="C50">
            <v>0.84875000000000067</v>
          </cell>
        </row>
        <row r="54">
          <cell r="C54">
            <v>0.8529629629629637</v>
          </cell>
        </row>
        <row r="58">
          <cell r="C58">
            <v>0.85700231481481559</v>
          </cell>
        </row>
        <row r="59">
          <cell r="C59">
            <v>0.86221064814814896</v>
          </cell>
        </row>
        <row r="60">
          <cell r="C60">
            <v>0.86741898148148233</v>
          </cell>
        </row>
        <row r="64">
          <cell r="C64">
            <v>0.8741550925925935</v>
          </cell>
        </row>
        <row r="68">
          <cell r="C68">
            <v>0.87854166666666766</v>
          </cell>
        </row>
        <row r="72">
          <cell r="C72">
            <v>0.88300925925926033</v>
          </cell>
        </row>
        <row r="73">
          <cell r="C73">
            <v>0.8882175925925937</v>
          </cell>
        </row>
        <row r="74">
          <cell r="C74">
            <v>0.89342592592592707</v>
          </cell>
        </row>
        <row r="78">
          <cell r="C78">
            <v>0.90010416666666782</v>
          </cell>
        </row>
        <row r="79">
          <cell r="C79">
            <v>0.90531250000000119</v>
          </cell>
        </row>
        <row r="83">
          <cell r="C83">
            <v>0.91171296296296422</v>
          </cell>
        </row>
        <row r="84">
          <cell r="C84">
            <v>0.9179629629629642</v>
          </cell>
        </row>
        <row r="85">
          <cell r="C85">
            <v>0.92421296296296418</v>
          </cell>
        </row>
        <row r="86">
          <cell r="C86">
            <v>0.9252546296296309</v>
          </cell>
        </row>
      </sheetData>
      <sheetData sheetId="8">
        <row r="10">
          <cell r="D10">
            <v>0.4375</v>
          </cell>
        </row>
        <row r="13">
          <cell r="D13">
            <v>0.44009259259259265</v>
          </cell>
        </row>
        <row r="19">
          <cell r="D19">
            <v>0.44273148148148161</v>
          </cell>
        </row>
        <row r="23">
          <cell r="D23">
            <v>0.44569444444444462</v>
          </cell>
        </row>
        <row r="29">
          <cell r="D29">
            <v>0.44916666666666688</v>
          </cell>
        </row>
        <row r="41">
          <cell r="D41">
            <v>0.4524884259259262</v>
          </cell>
        </row>
        <row r="44">
          <cell r="D44">
            <v>0.45434027777777808</v>
          </cell>
        </row>
        <row r="47">
          <cell r="D47">
            <v>0.4556134259259263</v>
          </cell>
        </row>
        <row r="50">
          <cell r="D50">
            <v>0.45687500000000042</v>
          </cell>
        </row>
        <row r="53">
          <cell r="D53">
            <v>0.45811342592592641</v>
          </cell>
        </row>
        <row r="56">
          <cell r="D56">
            <v>0.4593518518518524</v>
          </cell>
        </row>
        <row r="60">
          <cell r="D60">
            <v>0.46105324074074133</v>
          </cell>
        </row>
        <row r="63">
          <cell r="D63">
            <v>0.46290509259259321</v>
          </cell>
        </row>
        <row r="66">
          <cell r="D66">
            <v>0.46423611111111179</v>
          </cell>
        </row>
        <row r="69">
          <cell r="D69">
            <v>0.46552083333333405</v>
          </cell>
        </row>
        <row r="72">
          <cell r="D72">
            <v>0.46679398148148227</v>
          </cell>
        </row>
        <row r="75">
          <cell r="D75">
            <v>0.46805555555555639</v>
          </cell>
        </row>
        <row r="81">
          <cell r="D81">
            <v>0.46931712962963051</v>
          </cell>
        </row>
        <row r="85">
          <cell r="D85">
            <v>0.47104166666666758</v>
          </cell>
        </row>
        <row r="88">
          <cell r="D88">
            <v>0.47332175925926018</v>
          </cell>
        </row>
        <row r="91">
          <cell r="D91">
            <v>0.47490740740740839</v>
          </cell>
        </row>
        <row r="94">
          <cell r="D94">
            <v>0.47646990740740847</v>
          </cell>
        </row>
        <row r="97">
          <cell r="D97">
            <v>0.47802083333333445</v>
          </cell>
        </row>
        <row r="100">
          <cell r="D100">
            <v>0.47957175925926043</v>
          </cell>
        </row>
        <row r="103">
          <cell r="D103">
            <v>0.48109953703703828</v>
          </cell>
        </row>
        <row r="106">
          <cell r="D106">
            <v>0.48261574074074204</v>
          </cell>
        </row>
        <row r="112">
          <cell r="D112">
            <v>0.48413194444444579</v>
          </cell>
        </row>
        <row r="123">
          <cell r="D123">
            <v>0.48611111111111249</v>
          </cell>
        </row>
        <row r="124">
          <cell r="D124">
            <v>0.48715277777777916</v>
          </cell>
        </row>
      </sheetData>
      <sheetData sheetId="9">
        <row r="11">
          <cell r="C11">
            <v>0.79652777777777783</v>
          </cell>
        </row>
        <row r="15">
          <cell r="C15">
            <v>0.80034722222222232</v>
          </cell>
        </row>
        <row r="19">
          <cell r="C19">
            <v>0.80399305555555567</v>
          </cell>
        </row>
        <row r="23">
          <cell r="C23">
            <v>0.80768518518518539</v>
          </cell>
        </row>
        <row r="27">
          <cell r="C27">
            <v>0.81120370370370398</v>
          </cell>
        </row>
        <row r="31">
          <cell r="C31">
            <v>0.81629629629629663</v>
          </cell>
        </row>
        <row r="35">
          <cell r="C35">
            <v>0.82118055555555591</v>
          </cell>
        </row>
        <row r="39">
          <cell r="C39">
            <v>0.82670138888888933</v>
          </cell>
        </row>
        <row r="40">
          <cell r="C40">
            <v>0.8319097222222227</v>
          </cell>
        </row>
        <row r="41">
          <cell r="C41">
            <v>0.83711805555555607</v>
          </cell>
        </row>
        <row r="45">
          <cell r="C45">
            <v>0.84112268518518585</v>
          </cell>
        </row>
        <row r="49">
          <cell r="C49">
            <v>0.84505787037037106</v>
          </cell>
        </row>
        <row r="53">
          <cell r="C53">
            <v>0.84881944444444513</v>
          </cell>
        </row>
        <row r="57">
          <cell r="C57">
            <v>0.85425925925926005</v>
          </cell>
        </row>
        <row r="58">
          <cell r="C58">
            <v>0.85946759259259342</v>
          </cell>
        </row>
        <row r="59">
          <cell r="C59">
            <v>0.86467592592592679</v>
          </cell>
        </row>
        <row r="63">
          <cell r="C63">
            <v>0.86920138888888987</v>
          </cell>
        </row>
        <row r="67">
          <cell r="C67">
            <v>0.87362268518518627</v>
          </cell>
        </row>
        <row r="68">
          <cell r="C68">
            <v>0.87883101851851964</v>
          </cell>
        </row>
        <row r="69">
          <cell r="C69">
            <v>0.88403935185185301</v>
          </cell>
        </row>
        <row r="73">
          <cell r="C73">
            <v>0.89363425925926043</v>
          </cell>
        </row>
        <row r="74">
          <cell r="C74">
            <v>0.8988425925925938</v>
          </cell>
        </row>
        <row r="75">
          <cell r="C75">
            <v>0.90509259259259378</v>
          </cell>
        </row>
        <row r="76">
          <cell r="C76">
            <v>0.9061342592592605</v>
          </cell>
        </row>
      </sheetData>
      <sheetData sheetId="10">
        <row r="10">
          <cell r="D10">
            <v>0.4375</v>
          </cell>
        </row>
        <row r="13">
          <cell r="D13">
            <v>0.44045138888888891</v>
          </cell>
        </row>
        <row r="17">
          <cell r="D17">
            <v>0.44385416666666672</v>
          </cell>
        </row>
        <row r="20">
          <cell r="D20">
            <v>0.44574074074074083</v>
          </cell>
        </row>
        <row r="23">
          <cell r="D23">
            <v>0.44704861111111127</v>
          </cell>
        </row>
        <row r="26">
          <cell r="D26">
            <v>0.44832175925925949</v>
          </cell>
        </row>
        <row r="29">
          <cell r="D29">
            <v>0.44958333333333361</v>
          </cell>
        </row>
        <row r="32">
          <cell r="D32">
            <v>0.45084490740740774</v>
          </cell>
        </row>
        <row r="36">
          <cell r="D36">
            <v>0.4525694444444448</v>
          </cell>
        </row>
        <row r="39">
          <cell r="D39">
            <v>0.4548495370370374</v>
          </cell>
        </row>
        <row r="42">
          <cell r="D42">
            <v>0.4565162037037041</v>
          </cell>
        </row>
        <row r="45">
          <cell r="D45">
            <v>0.45815972222222268</v>
          </cell>
        </row>
        <row r="48">
          <cell r="D48">
            <v>0.45979166666666715</v>
          </cell>
        </row>
        <row r="51">
          <cell r="D51">
            <v>0.4614004629629635</v>
          </cell>
        </row>
        <row r="57">
          <cell r="D57">
            <v>0.46299768518518575</v>
          </cell>
        </row>
        <row r="61">
          <cell r="D61">
            <v>0.4650462962962969</v>
          </cell>
        </row>
        <row r="64">
          <cell r="D64">
            <v>0.467245370370371</v>
          </cell>
        </row>
        <row r="67">
          <cell r="D67">
            <v>0.46890046296296367</v>
          </cell>
        </row>
        <row r="70">
          <cell r="D70">
            <v>0.47049768518518592</v>
          </cell>
        </row>
        <row r="73">
          <cell r="D73">
            <v>0.47208333333333413</v>
          </cell>
        </row>
        <row r="76">
          <cell r="D76">
            <v>0.47365740740740825</v>
          </cell>
        </row>
        <row r="79">
          <cell r="D79">
            <v>0.47521990740740833</v>
          </cell>
        </row>
        <row r="83">
          <cell r="D83">
            <v>0.47724537037037135</v>
          </cell>
        </row>
        <row r="86">
          <cell r="D86">
            <v>0.4805902777777788</v>
          </cell>
        </row>
        <row r="101">
          <cell r="D101">
            <v>0.48372685185185288</v>
          </cell>
        </row>
        <row r="104">
          <cell r="D104">
            <v>0.48616898148148252</v>
          </cell>
        </row>
        <row r="107">
          <cell r="D107">
            <v>0.48799768518518627</v>
          </cell>
        </row>
        <row r="110">
          <cell r="D110">
            <v>0.48981481481481598</v>
          </cell>
        </row>
        <row r="120">
          <cell r="D120">
            <v>0.49208333333333454</v>
          </cell>
        </row>
        <row r="123">
          <cell r="D123">
            <v>0.50023148148148266</v>
          </cell>
        </row>
        <row r="127">
          <cell r="D127">
            <v>0.50814814814814935</v>
          </cell>
        </row>
        <row r="128">
          <cell r="D128">
            <v>0.50918981481481607</v>
          </cell>
        </row>
      </sheetData>
      <sheetData sheetId="11">
        <row r="11">
          <cell r="C11">
            <v>0.79652777777777783</v>
          </cell>
        </row>
        <row r="15">
          <cell r="C15">
            <v>0.80081018518518532</v>
          </cell>
        </row>
        <row r="19">
          <cell r="C19">
            <v>0.80616898148148175</v>
          </cell>
        </row>
        <row r="23">
          <cell r="C23">
            <v>0.80987268518518551</v>
          </cell>
        </row>
        <row r="27">
          <cell r="C27">
            <v>0.81340277777777814</v>
          </cell>
        </row>
        <row r="31">
          <cell r="C31">
            <v>0.81743055555555599</v>
          </cell>
        </row>
        <row r="35">
          <cell r="C35">
            <v>0.82128472222222271</v>
          </cell>
        </row>
        <row r="36">
          <cell r="C36">
            <v>0.82649305555555608</v>
          </cell>
        </row>
        <row r="37">
          <cell r="C37">
            <v>0.83170138888888945</v>
          </cell>
        </row>
        <row r="41">
          <cell r="C41">
            <v>0.83570601851851911</v>
          </cell>
        </row>
        <row r="45">
          <cell r="C45">
            <v>0.83953703703703764</v>
          </cell>
        </row>
        <row r="49">
          <cell r="C49">
            <v>0.84480324074074142</v>
          </cell>
        </row>
        <row r="53">
          <cell r="C53">
            <v>0.84908564814814891</v>
          </cell>
        </row>
        <row r="57">
          <cell r="C57">
            <v>0.85429398148148239</v>
          </cell>
        </row>
        <row r="58">
          <cell r="C58">
            <v>0.85950231481481576</v>
          </cell>
        </row>
        <row r="62">
          <cell r="C62">
            <v>0.86362268518518626</v>
          </cell>
        </row>
        <row r="66">
          <cell r="C66">
            <v>0.86765046296296411</v>
          </cell>
        </row>
        <row r="67">
          <cell r="C67">
            <v>0.87285879629629748</v>
          </cell>
        </row>
        <row r="68">
          <cell r="C68">
            <v>0.87806712962963085</v>
          </cell>
        </row>
        <row r="72">
          <cell r="C72">
            <v>0.88222222222222346</v>
          </cell>
        </row>
        <row r="76">
          <cell r="C76">
            <v>0.8865509259259271</v>
          </cell>
        </row>
        <row r="80">
          <cell r="C80">
            <v>0.89634259259259386</v>
          </cell>
        </row>
        <row r="81">
          <cell r="C81">
            <v>0.90155092592592723</v>
          </cell>
        </row>
        <row r="82">
          <cell r="C82">
            <v>0.9067592592592606</v>
          </cell>
        </row>
        <row r="83">
          <cell r="C83">
            <v>0.91300925925926057</v>
          </cell>
        </row>
        <row r="84">
          <cell r="C84">
            <v>0.91405092592592729</v>
          </cell>
        </row>
      </sheetData>
      <sheetData sheetId="12">
        <row r="10">
          <cell r="D10">
            <v>0.4375</v>
          </cell>
        </row>
        <row r="13">
          <cell r="D13">
            <v>0.44010416666666669</v>
          </cell>
        </row>
        <row r="16">
          <cell r="D16">
            <v>0.44281250000000005</v>
          </cell>
        </row>
        <row r="20">
          <cell r="D20">
            <v>0.44577546296296305</v>
          </cell>
        </row>
        <row r="23">
          <cell r="D23">
            <v>0.44921296296296309</v>
          </cell>
        </row>
        <row r="38">
          <cell r="D38">
            <v>0.45228009259259278</v>
          </cell>
        </row>
        <row r="41">
          <cell r="D41">
            <v>0.4540740740740743</v>
          </cell>
        </row>
        <row r="44">
          <cell r="D44">
            <v>0.45532407407407433</v>
          </cell>
        </row>
        <row r="47">
          <cell r="D47">
            <v>0.45655092592592622</v>
          </cell>
        </row>
        <row r="50">
          <cell r="D50">
            <v>0.45776620370370408</v>
          </cell>
        </row>
        <row r="53">
          <cell r="D53">
            <v>0.45898148148148193</v>
          </cell>
        </row>
        <row r="56">
          <cell r="D56">
            <v>0.4601851851851857</v>
          </cell>
        </row>
        <row r="59">
          <cell r="D59">
            <v>0.46138888888888946</v>
          </cell>
        </row>
        <row r="65">
          <cell r="D65">
            <v>0.46259259259259322</v>
          </cell>
        </row>
        <row r="69">
          <cell r="D69">
            <v>0.46425925925925993</v>
          </cell>
        </row>
        <row r="72">
          <cell r="D72">
            <v>0.46622685185185253</v>
          </cell>
        </row>
        <row r="75">
          <cell r="D75">
            <v>0.46755787037037111</v>
          </cell>
        </row>
        <row r="78">
          <cell r="D78">
            <v>0.46886574074074155</v>
          </cell>
        </row>
        <row r="84">
          <cell r="D84">
            <v>0.47015046296296381</v>
          </cell>
        </row>
        <row r="88">
          <cell r="D88">
            <v>0.47189814814814901</v>
          </cell>
        </row>
        <row r="91">
          <cell r="D91">
            <v>0.47693287037037124</v>
          </cell>
        </row>
        <row r="94">
          <cell r="D94">
            <v>0.48142361111111204</v>
          </cell>
        </row>
        <row r="98">
          <cell r="D98">
            <v>0.48593750000000097</v>
          </cell>
        </row>
        <row r="101">
          <cell r="D101">
            <v>0.49892361111111211</v>
          </cell>
        </row>
        <row r="105">
          <cell r="D105">
            <v>0.51178240740740844</v>
          </cell>
        </row>
        <row r="106">
          <cell r="D106">
            <v>0.51282407407407515</v>
          </cell>
        </row>
      </sheetData>
      <sheetData sheetId="13">
        <row r="11">
          <cell r="C11">
            <v>0.79652777777777783</v>
          </cell>
        </row>
        <row r="15">
          <cell r="C15">
            <v>0.80103009259259272</v>
          </cell>
        </row>
        <row r="19">
          <cell r="C19">
            <v>0.80623842592592621</v>
          </cell>
        </row>
        <row r="23">
          <cell r="C23">
            <v>0.81146990740740776</v>
          </cell>
        </row>
        <row r="24">
          <cell r="C24">
            <v>0.81667824074074113</v>
          </cell>
        </row>
        <row r="25">
          <cell r="C25">
            <v>0.82188657407407451</v>
          </cell>
        </row>
        <row r="29">
          <cell r="C29">
            <v>0.82623842592592645</v>
          </cell>
        </row>
        <row r="33">
          <cell r="C33">
            <v>0.8305671296296302</v>
          </cell>
        </row>
        <row r="34">
          <cell r="C34">
            <v>0.83577546296296357</v>
          </cell>
        </row>
        <row r="35">
          <cell r="C35">
            <v>0.84098379629629694</v>
          </cell>
        </row>
        <row r="39">
          <cell r="C39">
            <v>0.84461805555555625</v>
          </cell>
        </row>
        <row r="43">
          <cell r="C43">
            <v>0.84807870370370442</v>
          </cell>
        </row>
        <row r="47">
          <cell r="C47">
            <v>0.85211805555555642</v>
          </cell>
        </row>
        <row r="48">
          <cell r="C48">
            <v>0.85732638888888979</v>
          </cell>
        </row>
        <row r="52">
          <cell r="C52">
            <v>0.86114583333333428</v>
          </cell>
        </row>
        <row r="56">
          <cell r="C56">
            <v>0.86479166666666762</v>
          </cell>
        </row>
        <row r="60">
          <cell r="C60">
            <v>0.86930555555555666</v>
          </cell>
        </row>
        <row r="64">
          <cell r="C64">
            <v>0.87520833333333459</v>
          </cell>
        </row>
        <row r="65">
          <cell r="C65">
            <v>0.88041666666666796</v>
          </cell>
        </row>
        <row r="66">
          <cell r="C66">
            <v>0.88562500000000133</v>
          </cell>
        </row>
        <row r="70">
          <cell r="C70">
            <v>0.89546296296296435</v>
          </cell>
        </row>
        <row r="71">
          <cell r="C71">
            <v>0.90067129629629772</v>
          </cell>
        </row>
        <row r="75">
          <cell r="C75">
            <v>0.90778935185185328</v>
          </cell>
        </row>
        <row r="76">
          <cell r="C76">
            <v>0.91299768518518665</v>
          </cell>
        </row>
        <row r="77">
          <cell r="C77">
            <v>0.91924768518518662</v>
          </cell>
        </row>
        <row r="78">
          <cell r="C78">
            <v>0.92028935185185334</v>
          </cell>
        </row>
      </sheetData>
      <sheetData sheetId="14">
        <row r="10">
          <cell r="D10">
            <v>0.4375</v>
          </cell>
        </row>
        <row r="13">
          <cell r="D13">
            <v>0.44015046296296301</v>
          </cell>
        </row>
        <row r="16">
          <cell r="D16">
            <v>0.44258101851851861</v>
          </cell>
        </row>
        <row r="19">
          <cell r="D19">
            <v>0.44506944444444457</v>
          </cell>
        </row>
        <row r="32">
          <cell r="D32">
            <v>0.44854166666666684</v>
          </cell>
        </row>
        <row r="35">
          <cell r="D35">
            <v>0.45317129629629654</v>
          </cell>
        </row>
        <row r="38">
          <cell r="D38">
            <v>0.45745370370370403</v>
          </cell>
        </row>
        <row r="41">
          <cell r="D41">
            <v>0.46151620370370411</v>
          </cell>
        </row>
        <row r="53">
          <cell r="D53">
            <v>0.46655092592592634</v>
          </cell>
        </row>
        <row r="56">
          <cell r="D56">
            <v>0.47023148148148197</v>
          </cell>
        </row>
        <row r="60">
          <cell r="D60">
            <v>0.47560185185185233</v>
          </cell>
        </row>
      </sheetData>
      <sheetData sheetId="15">
        <row r="11">
          <cell r="C11">
            <v>0.79652777777777783</v>
          </cell>
        </row>
        <row r="15">
          <cell r="C15">
            <v>0.80164351851851867</v>
          </cell>
        </row>
        <row r="19">
          <cell r="C19">
            <v>0.80719907407407432</v>
          </cell>
        </row>
        <row r="23">
          <cell r="C23">
            <v>0.8127083333333337</v>
          </cell>
        </row>
        <row r="24">
          <cell r="C24">
            <v>0.81791666666666707</v>
          </cell>
        </row>
        <row r="25">
          <cell r="C25">
            <v>0.82312500000000044</v>
          </cell>
        </row>
        <row r="29">
          <cell r="C29">
            <v>0.82709490740740799</v>
          </cell>
        </row>
        <row r="33">
          <cell r="C33">
            <v>0.83125000000000071</v>
          </cell>
        </row>
        <row r="34">
          <cell r="C34">
            <v>0.83645833333333408</v>
          </cell>
        </row>
        <row r="35">
          <cell r="C35">
            <v>0.84166666666666745</v>
          </cell>
        </row>
        <row r="39">
          <cell r="C39">
            <v>0.85679398148148234</v>
          </cell>
        </row>
        <row r="40">
          <cell r="C40">
            <v>0.86200231481481571</v>
          </cell>
        </row>
        <row r="41">
          <cell r="C41">
            <v>0.86721064814814908</v>
          </cell>
        </row>
        <row r="45">
          <cell r="C45">
            <v>0.87387731481481579</v>
          </cell>
        </row>
        <row r="49">
          <cell r="C49">
            <v>0.88079861111111213</v>
          </cell>
        </row>
        <row r="53">
          <cell r="C53">
            <v>0.88798611111111214</v>
          </cell>
        </row>
        <row r="54">
          <cell r="C54">
            <v>0.89319444444444551</v>
          </cell>
        </row>
        <row r="55">
          <cell r="C55">
            <v>0.89944444444444549</v>
          </cell>
        </row>
        <row r="56">
          <cell r="C56">
            <v>0.90569444444444547</v>
          </cell>
        </row>
        <row r="57">
          <cell r="C57">
            <v>0.90673611111111219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"/>
      <sheetName val="Version"/>
      <sheetName val="BACKGROUND_SPORT"/>
      <sheetName val="BACKGROUND_TYPE"/>
      <sheetName val="CLUSTER"/>
      <sheetName val="COMPETITION_CODE"/>
      <sheetName val="CONTINENT"/>
      <sheetName val="COUNTRY"/>
      <sheetName val="DISCIPLINE"/>
      <sheetName val="DISCIPLINE_CLASS"/>
      <sheetName val="DISCIPLINE_FUNCTION"/>
      <sheetName val="DISCIPLINE_GENDER"/>
      <sheetName val="EVENT"/>
      <sheetName val="EVENT_CLASS"/>
      <sheetName val="EVENT_UNIT"/>
      <sheetName val="EVENT_UNIT_TYPE"/>
      <sheetName val="FUNCTION_CATEGORY"/>
      <sheetName val="H1"/>
      <sheetName val="LANGUAGE"/>
      <sheetName val="LOCATION"/>
      <sheetName val="MARITAL_STATUS"/>
      <sheetName val="NEWS_SPORT"/>
      <sheetName val="NEWS_TYPE"/>
      <sheetName val="NOC"/>
      <sheetName val="ORGANISATION"/>
      <sheetName val="ORGANISATION_TYPE"/>
      <sheetName val="PARTICIPANT_STATUS"/>
      <sheetName val="PERSON_GENDER"/>
      <sheetName val="PHASE"/>
      <sheetName val="PHASE_TYPE"/>
      <sheetName val="POSITION"/>
      <sheetName val="RECORD"/>
      <sheetName val="RECORD_TYPE"/>
      <sheetName val="RESULTSTATUS"/>
      <sheetName val="SCHEDULESTATUS"/>
      <sheetName val="SESSION_TYPE"/>
      <sheetName val="SPORT"/>
      <sheetName val="SPORT_CODES"/>
      <sheetName val="SPORT_GENDER"/>
      <sheetName val="VENUE"/>
      <sheetName val="WEATHER_COND"/>
      <sheetName val="WEATHER_REGION"/>
      <sheetName val="WEATHER_REGION_VENUE"/>
      <sheetName val="WEATHER_SNOW_COND"/>
      <sheetName val="WIND_DIRECTION"/>
      <sheetName val="LOG_ACTIV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897">
          <cell r="A6897" t="str">
            <v>SWMM100MBF------------SFNL000100--</v>
          </cell>
        </row>
        <row r="7025">
          <cell r="A7025" t="str">
            <v>SWMM200MBF------------FNL-000100--</v>
          </cell>
        </row>
        <row r="7105">
          <cell r="A7105" t="str">
            <v>SWMM200MIM------------FNL-000100--</v>
          </cell>
        </row>
        <row r="7804">
          <cell r="A7804" t="str">
            <v>SWMW50MBF-------------SFNL000100--</v>
          </cell>
        </row>
        <row r="7806">
          <cell r="A7806" t="str">
            <v>SWMW50MBF-------------SFNL000200--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ate Wallace" id="{4CD57067-C214-4014-B7CE-D931E560B496}" userId="S::Kate.Wallace@birmingham2022.com::6d03cd90-ecc8-4806-b755-ab0938dbb9b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2" dT="2022-06-17T08:44:10.61" personId="{4CD57067-C214-4014-B7CE-D931E560B496}" id="{AACDF7B5-F5CA-44C7-91E8-C21E22A2C173}">
    <text>30mins before gates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161E4-2C24-4232-85F7-992E9903BCA2}">
  <dimension ref="A2:B33"/>
  <sheetViews>
    <sheetView topLeftCell="A24" workbookViewId="0"/>
  </sheetViews>
  <sheetFormatPr defaultColWidth="8.875" defaultRowHeight="14.25" x14ac:dyDescent="0.2"/>
  <cols>
    <col min="1" max="1" width="22.125" customWidth="1"/>
    <col min="2" max="2" width="63.125" style="9" customWidth="1"/>
  </cols>
  <sheetData>
    <row r="2" spans="1:2" x14ac:dyDescent="0.2">
      <c r="A2" s="16" t="s">
        <v>0</v>
      </c>
      <c r="B2" s="20" t="s">
        <v>1</v>
      </c>
    </row>
    <row r="3" spans="1:2" x14ac:dyDescent="0.2">
      <c r="A3" s="16" t="s">
        <v>2</v>
      </c>
      <c r="B3" s="20" t="s">
        <v>3</v>
      </c>
    </row>
    <row r="4" spans="1:2" x14ac:dyDescent="0.2">
      <c r="A4" s="16" t="s">
        <v>4</v>
      </c>
      <c r="B4" s="20" t="s">
        <v>5</v>
      </c>
    </row>
    <row r="5" spans="1:2" x14ac:dyDescent="0.2">
      <c r="A5" s="16" t="s">
        <v>6</v>
      </c>
      <c r="B5" s="20" t="s">
        <v>7</v>
      </c>
    </row>
    <row r="6" spans="1:2" x14ac:dyDescent="0.2">
      <c r="A6" s="16" t="s">
        <v>8</v>
      </c>
      <c r="B6" s="20" t="s">
        <v>9</v>
      </c>
    </row>
    <row r="9" spans="1:2" x14ac:dyDescent="0.2">
      <c r="A9" s="7" t="s">
        <v>10</v>
      </c>
      <c r="B9" s="20"/>
    </row>
    <row r="10" spans="1:2" x14ac:dyDescent="0.2">
      <c r="A10" s="7" t="s">
        <v>11</v>
      </c>
      <c r="B10" s="20" t="s">
        <v>12</v>
      </c>
    </row>
    <row r="11" spans="1:2" ht="42.75" x14ac:dyDescent="0.2">
      <c r="A11" s="7" t="s">
        <v>13</v>
      </c>
      <c r="B11" s="20" t="s">
        <v>14</v>
      </c>
    </row>
    <row r="12" spans="1:2" x14ac:dyDescent="0.2">
      <c r="A12" s="7" t="s">
        <v>15</v>
      </c>
      <c r="B12" s="20" t="s">
        <v>16</v>
      </c>
    </row>
    <row r="13" spans="1:2" ht="28.5" x14ac:dyDescent="0.2">
      <c r="A13" s="7" t="s">
        <v>17</v>
      </c>
      <c r="B13" s="20" t="s">
        <v>18</v>
      </c>
    </row>
    <row r="15" spans="1:2" x14ac:dyDescent="0.2">
      <c r="A15" s="117" t="s">
        <v>19</v>
      </c>
      <c r="B15" s="117"/>
    </row>
    <row r="16" spans="1:2" ht="28.5" x14ac:dyDescent="0.2">
      <c r="A16" s="19" t="s">
        <v>20</v>
      </c>
      <c r="B16" s="20" t="s">
        <v>21</v>
      </c>
    </row>
    <row r="17" spans="1:2" ht="28.5" x14ac:dyDescent="0.2">
      <c r="A17" s="19" t="s">
        <v>22</v>
      </c>
      <c r="B17" s="20" t="s">
        <v>23</v>
      </c>
    </row>
    <row r="18" spans="1:2" ht="28.5" x14ac:dyDescent="0.2">
      <c r="A18" s="19" t="s">
        <v>20</v>
      </c>
      <c r="B18" s="20" t="s">
        <v>24</v>
      </c>
    </row>
    <row r="19" spans="1:2" ht="28.5" x14ac:dyDescent="0.2">
      <c r="A19" s="19" t="s">
        <v>22</v>
      </c>
      <c r="B19" s="20" t="s">
        <v>25</v>
      </c>
    </row>
    <row r="22" spans="1:2" x14ac:dyDescent="0.2">
      <c r="A22" s="17" t="s">
        <v>26</v>
      </c>
    </row>
    <row r="23" spans="1:2" x14ac:dyDescent="0.2">
      <c r="A23" s="18" t="s">
        <v>27</v>
      </c>
      <c r="B23" s="20" t="s">
        <v>28</v>
      </c>
    </row>
    <row r="24" spans="1:2" ht="42.75" x14ac:dyDescent="0.2">
      <c r="A24" s="18" t="s">
        <v>4</v>
      </c>
      <c r="B24" s="20" t="s">
        <v>29</v>
      </c>
    </row>
    <row r="25" spans="1:2" ht="42.75" x14ac:dyDescent="0.2">
      <c r="A25" s="18" t="s">
        <v>30</v>
      </c>
      <c r="B25" s="20" t="s">
        <v>31</v>
      </c>
    </row>
    <row r="26" spans="1:2" x14ac:dyDescent="0.2">
      <c r="A26" s="18" t="s">
        <v>32</v>
      </c>
      <c r="B26" s="20" t="s">
        <v>33</v>
      </c>
    </row>
    <row r="29" spans="1:2" x14ac:dyDescent="0.2">
      <c r="A29" s="17" t="s">
        <v>34</v>
      </c>
    </row>
    <row r="30" spans="1:2" x14ac:dyDescent="0.2">
      <c r="A30" s="18" t="s">
        <v>35</v>
      </c>
      <c r="B30" s="20" t="s">
        <v>36</v>
      </c>
    </row>
    <row r="31" spans="1:2" x14ac:dyDescent="0.2">
      <c r="A31" s="18" t="s">
        <v>37</v>
      </c>
      <c r="B31" s="20" t="s">
        <v>38</v>
      </c>
    </row>
    <row r="32" spans="1:2" x14ac:dyDescent="0.2">
      <c r="A32" s="18" t="s">
        <v>39</v>
      </c>
      <c r="B32" s="20" t="s">
        <v>40</v>
      </c>
    </row>
    <row r="33" spans="1:2" x14ac:dyDescent="0.2">
      <c r="A33" s="18" t="s">
        <v>41</v>
      </c>
      <c r="B33" s="20" t="s">
        <v>42</v>
      </c>
    </row>
  </sheetData>
  <mergeCells count="1">
    <mergeCell ref="A15:B15"/>
  </mergeCells>
  <pageMargins left="0.7" right="0.7" top="0.75" bottom="0.75" header="0.3" footer="0.3"/>
  <pageSetup paperSize="9" orientation="portrait" r:id="rId1"/>
  <headerFooter>
    <oddHeader>&amp;C&amp;"Calibri"&amp;10&amp;K000000 Official&amp;1#_x000D_</oddHeader>
    <oddFooter>&amp;C_x000D_&amp;1#&amp;"Calibri"&amp;10&amp;K000000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7223-F577-4278-BF92-1FCAE3A31345}">
  <dimension ref="A1:B50"/>
  <sheetViews>
    <sheetView topLeftCell="A19" workbookViewId="0"/>
  </sheetViews>
  <sheetFormatPr defaultColWidth="8.875" defaultRowHeight="14.25" x14ac:dyDescent="0.2"/>
  <cols>
    <col min="1" max="1" width="74.625" style="9" customWidth="1"/>
    <col min="2" max="2" width="23" customWidth="1"/>
  </cols>
  <sheetData>
    <row r="1" spans="1:2" x14ac:dyDescent="0.2">
      <c r="A1" s="8" t="s">
        <v>43</v>
      </c>
      <c r="B1" s="1" t="s">
        <v>44</v>
      </c>
    </row>
    <row r="2" spans="1:2" x14ac:dyDescent="0.2">
      <c r="A2" s="9" t="s">
        <v>45</v>
      </c>
    </row>
    <row r="3" spans="1:2" x14ac:dyDescent="0.2">
      <c r="A3" s="9" t="s">
        <v>46</v>
      </c>
    </row>
    <row r="4" spans="1:2" x14ac:dyDescent="0.2">
      <c r="A4" s="9" t="s">
        <v>47</v>
      </c>
    </row>
    <row r="5" spans="1:2" x14ac:dyDescent="0.2">
      <c r="A5" s="9" t="s">
        <v>48</v>
      </c>
    </row>
    <row r="6" spans="1:2" x14ac:dyDescent="0.2">
      <c r="A6" s="9" t="s">
        <v>49</v>
      </c>
    </row>
    <row r="7" spans="1:2" x14ac:dyDescent="0.2">
      <c r="A7" s="9" t="s">
        <v>50</v>
      </c>
    </row>
    <row r="8" spans="1:2" x14ac:dyDescent="0.2">
      <c r="A8" s="9" t="s">
        <v>51</v>
      </c>
    </row>
    <row r="9" spans="1:2" x14ac:dyDescent="0.2">
      <c r="A9" s="9" t="s">
        <v>52</v>
      </c>
    </row>
    <row r="10" spans="1:2" x14ac:dyDescent="0.2">
      <c r="A10" s="9" t="s">
        <v>53</v>
      </c>
    </row>
    <row r="11" spans="1:2" x14ac:dyDescent="0.2">
      <c r="A11" s="9" t="s">
        <v>54</v>
      </c>
    </row>
    <row r="12" spans="1:2" x14ac:dyDescent="0.2">
      <c r="A12" s="9" t="s">
        <v>55</v>
      </c>
    </row>
    <row r="13" spans="1:2" x14ac:dyDescent="0.2">
      <c r="A13" s="9" t="s">
        <v>56</v>
      </c>
    </row>
    <row r="14" spans="1:2" x14ac:dyDescent="0.2">
      <c r="A14" s="10" t="s">
        <v>57</v>
      </c>
      <c r="B14" s="11" t="s">
        <v>58</v>
      </c>
    </row>
    <row r="15" spans="1:2" x14ac:dyDescent="0.2">
      <c r="A15" s="9" t="s">
        <v>59</v>
      </c>
    </row>
    <row r="16" spans="1:2" x14ac:dyDescent="0.2">
      <c r="A16" s="12" t="s">
        <v>60</v>
      </c>
      <c r="B16" s="13" t="s">
        <v>58</v>
      </c>
    </row>
    <row r="17" spans="1:2" ht="28.5" x14ac:dyDescent="0.2">
      <c r="A17" s="9" t="s">
        <v>61</v>
      </c>
    </row>
    <row r="18" spans="1:2" x14ac:dyDescent="0.2">
      <c r="A18" s="14" t="s">
        <v>62</v>
      </c>
      <c r="B18" s="15" t="s">
        <v>63</v>
      </c>
    </row>
    <row r="19" spans="1:2" x14ac:dyDescent="0.2">
      <c r="A19" s="9" t="s">
        <v>64</v>
      </c>
    </row>
    <row r="20" spans="1:2" x14ac:dyDescent="0.2">
      <c r="A20" s="9" t="s">
        <v>65</v>
      </c>
    </row>
    <row r="21" spans="1:2" x14ac:dyDescent="0.2">
      <c r="A21" s="9" t="s">
        <v>66</v>
      </c>
    </row>
    <row r="22" spans="1:2" x14ac:dyDescent="0.2">
      <c r="A22" s="9" t="s">
        <v>67</v>
      </c>
    </row>
    <row r="23" spans="1:2" x14ac:dyDescent="0.2">
      <c r="A23" s="9" t="s">
        <v>68</v>
      </c>
    </row>
    <row r="24" spans="1:2" x14ac:dyDescent="0.2">
      <c r="A24" s="9" t="s">
        <v>69</v>
      </c>
    </row>
    <row r="25" spans="1:2" x14ac:dyDescent="0.2">
      <c r="A25" s="9" t="s">
        <v>70</v>
      </c>
    </row>
    <row r="26" spans="1:2" x14ac:dyDescent="0.2">
      <c r="A26" s="9" t="s">
        <v>71</v>
      </c>
    </row>
    <row r="29" spans="1:2" x14ac:dyDescent="0.2">
      <c r="A29" s="8" t="s">
        <v>72</v>
      </c>
    </row>
    <row r="30" spans="1:2" x14ac:dyDescent="0.2">
      <c r="A30" s="9" t="s">
        <v>73</v>
      </c>
    </row>
    <row r="31" spans="1:2" x14ac:dyDescent="0.2">
      <c r="A31" s="9" t="s">
        <v>74</v>
      </c>
    </row>
    <row r="32" spans="1:2" x14ac:dyDescent="0.2">
      <c r="A32" s="9" t="s">
        <v>75</v>
      </c>
    </row>
    <row r="33" spans="1:1" x14ac:dyDescent="0.2">
      <c r="A33" s="9" t="s">
        <v>76</v>
      </c>
    </row>
    <row r="34" spans="1:1" x14ac:dyDescent="0.2">
      <c r="A34" s="9" t="s">
        <v>77</v>
      </c>
    </row>
    <row r="35" spans="1:1" x14ac:dyDescent="0.2">
      <c r="A35" s="9" t="s">
        <v>78</v>
      </c>
    </row>
    <row r="36" spans="1:1" x14ac:dyDescent="0.2">
      <c r="A36" s="9" t="s">
        <v>79</v>
      </c>
    </row>
    <row r="37" spans="1:1" x14ac:dyDescent="0.2">
      <c r="A37" s="9" t="s">
        <v>80</v>
      </c>
    </row>
    <row r="38" spans="1:1" x14ac:dyDescent="0.2">
      <c r="A38" s="9" t="s">
        <v>81</v>
      </c>
    </row>
    <row r="39" spans="1:1" x14ac:dyDescent="0.2">
      <c r="A39" s="9" t="s">
        <v>82</v>
      </c>
    </row>
    <row r="40" spans="1:1" x14ac:dyDescent="0.2">
      <c r="A40" s="9" t="s">
        <v>83</v>
      </c>
    </row>
    <row r="41" spans="1:1" x14ac:dyDescent="0.2">
      <c r="A41" s="9" t="s">
        <v>84</v>
      </c>
    </row>
    <row r="42" spans="1:1" x14ac:dyDescent="0.2">
      <c r="A42" s="9" t="s">
        <v>85</v>
      </c>
    </row>
    <row r="43" spans="1:1" x14ac:dyDescent="0.2">
      <c r="A43" s="9" t="s">
        <v>86</v>
      </c>
    </row>
    <row r="44" spans="1:1" x14ac:dyDescent="0.2">
      <c r="A44" s="9" t="s">
        <v>87</v>
      </c>
    </row>
    <row r="45" spans="1:1" x14ac:dyDescent="0.2">
      <c r="A45" s="9" t="s">
        <v>88</v>
      </c>
    </row>
    <row r="46" spans="1:1" x14ac:dyDescent="0.2">
      <c r="A46" s="9" t="s">
        <v>89</v>
      </c>
    </row>
    <row r="47" spans="1:1" x14ac:dyDescent="0.2">
      <c r="A47" s="9" t="s">
        <v>90</v>
      </c>
    </row>
    <row r="48" spans="1:1" x14ac:dyDescent="0.2">
      <c r="A48" s="9" t="s">
        <v>91</v>
      </c>
    </row>
    <row r="49" spans="1:1" x14ac:dyDescent="0.2">
      <c r="A49" s="9" t="s">
        <v>92</v>
      </c>
    </row>
    <row r="50" spans="1:1" x14ac:dyDescent="0.2">
      <c r="A50" s="9" t="s">
        <v>93</v>
      </c>
    </row>
  </sheetData>
  <pageMargins left="0.7" right="0.7" top="0.75" bottom="0.75" header="0.3" footer="0.3"/>
  <headerFooter>
    <oddHeader>&amp;C&amp;"Calibri"&amp;10&amp;K000000 Official&amp;1#_x000D_</oddHeader>
    <oddFooter>&amp;C_x000D_&amp;1#&amp;"Calibri"&amp;10&amp;K000000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DF4AE-5FBC-4BF6-BED9-80DE58D34832}">
  <dimension ref="A1:D77"/>
  <sheetViews>
    <sheetView topLeftCell="A55" workbookViewId="0">
      <selection activeCell="F18" sqref="F18"/>
    </sheetView>
  </sheetViews>
  <sheetFormatPr defaultColWidth="8.875" defaultRowHeight="14.25" x14ac:dyDescent="0.2"/>
  <sheetData>
    <row r="1" spans="1:4" ht="16.5" x14ac:dyDescent="0.3">
      <c r="A1" s="22"/>
      <c r="B1" s="22"/>
      <c r="C1" s="22"/>
      <c r="D1" s="22"/>
    </row>
    <row r="2" spans="1:4" ht="16.5" x14ac:dyDescent="0.3">
      <c r="A2" s="22"/>
      <c r="B2" s="23" t="s">
        <v>94</v>
      </c>
      <c r="C2" s="22"/>
      <c r="D2" s="22"/>
    </row>
    <row r="3" spans="1:4" ht="16.5" x14ac:dyDescent="0.3">
      <c r="A3" s="22"/>
      <c r="B3" s="22"/>
      <c r="C3" s="22"/>
      <c r="D3" s="22"/>
    </row>
    <row r="4" spans="1:4" ht="16.5" x14ac:dyDescent="0.3">
      <c r="A4" s="22"/>
      <c r="B4" s="24" t="s">
        <v>95</v>
      </c>
      <c r="C4" s="25" t="s">
        <v>96</v>
      </c>
      <c r="D4" s="25" t="s">
        <v>97</v>
      </c>
    </row>
    <row r="5" spans="1:4" ht="16.5" x14ac:dyDescent="0.3">
      <c r="A5" s="26">
        <v>1</v>
      </c>
      <c r="B5" s="27" t="s">
        <v>98</v>
      </c>
      <c r="C5" s="27" t="s">
        <v>99</v>
      </c>
      <c r="D5" s="25" t="s">
        <v>100</v>
      </c>
    </row>
    <row r="6" spans="1:4" ht="16.5" x14ac:dyDescent="0.3">
      <c r="A6" s="26">
        <v>2</v>
      </c>
      <c r="B6" s="27" t="s">
        <v>101</v>
      </c>
      <c r="C6" s="27" t="s">
        <v>99</v>
      </c>
      <c r="D6" s="25" t="s">
        <v>102</v>
      </c>
    </row>
    <row r="7" spans="1:4" ht="16.5" x14ac:dyDescent="0.3">
      <c r="A7" s="26">
        <v>3</v>
      </c>
      <c r="B7" s="27" t="s">
        <v>103</v>
      </c>
      <c r="C7" s="27" t="s">
        <v>104</v>
      </c>
      <c r="D7" s="25" t="s">
        <v>105</v>
      </c>
    </row>
    <row r="8" spans="1:4" ht="16.5" x14ac:dyDescent="0.3">
      <c r="A8" s="26">
        <v>4</v>
      </c>
      <c r="B8" s="27" t="s">
        <v>106</v>
      </c>
      <c r="C8" s="27" t="s">
        <v>107</v>
      </c>
      <c r="D8" s="25" t="s">
        <v>108</v>
      </c>
    </row>
    <row r="9" spans="1:4" ht="16.5" x14ac:dyDescent="0.3">
      <c r="A9" s="26">
        <v>5</v>
      </c>
      <c r="B9" s="27" t="s">
        <v>109</v>
      </c>
      <c r="C9" s="27" t="s">
        <v>110</v>
      </c>
      <c r="D9" s="25" t="s">
        <v>111</v>
      </c>
    </row>
    <row r="10" spans="1:4" ht="16.5" x14ac:dyDescent="0.3">
      <c r="A10" s="26">
        <v>6</v>
      </c>
      <c r="B10" s="27" t="s">
        <v>112</v>
      </c>
      <c r="C10" s="27" t="s">
        <v>99</v>
      </c>
      <c r="D10" s="25" t="s">
        <v>113</v>
      </c>
    </row>
    <row r="11" spans="1:4" ht="16.5" x14ac:dyDescent="0.3">
      <c r="A11" s="26">
        <v>7</v>
      </c>
      <c r="B11" s="27" t="s">
        <v>114</v>
      </c>
      <c r="C11" s="27" t="s">
        <v>107</v>
      </c>
      <c r="D11" s="25" t="s">
        <v>115</v>
      </c>
    </row>
    <row r="12" spans="1:4" ht="16.5" x14ac:dyDescent="0.3">
      <c r="A12" s="26">
        <v>8</v>
      </c>
      <c r="B12" s="27" t="s">
        <v>116</v>
      </c>
      <c r="C12" s="27" t="s">
        <v>107</v>
      </c>
      <c r="D12" s="25" t="s">
        <v>117</v>
      </c>
    </row>
    <row r="13" spans="1:4" ht="16.5" x14ac:dyDescent="0.3">
      <c r="A13" s="26">
        <v>9</v>
      </c>
      <c r="B13" s="27" t="s">
        <v>118</v>
      </c>
      <c r="C13" s="27" t="s">
        <v>119</v>
      </c>
      <c r="D13" s="25" t="s">
        <v>120</v>
      </c>
    </row>
    <row r="14" spans="1:4" ht="16.5" x14ac:dyDescent="0.3">
      <c r="A14" s="26">
        <v>10</v>
      </c>
      <c r="B14" s="27" t="s">
        <v>121</v>
      </c>
      <c r="C14" s="27" t="s">
        <v>110</v>
      </c>
      <c r="D14" s="25" t="s">
        <v>122</v>
      </c>
    </row>
    <row r="15" spans="1:4" ht="16.5" x14ac:dyDescent="0.3">
      <c r="A15" s="26">
        <v>11</v>
      </c>
      <c r="B15" s="27" t="s">
        <v>123</v>
      </c>
      <c r="C15" s="27" t="s">
        <v>107</v>
      </c>
      <c r="D15" s="25" t="s">
        <v>124</v>
      </c>
    </row>
    <row r="16" spans="1:4" ht="16.5" x14ac:dyDescent="0.3">
      <c r="A16" s="26">
        <v>12</v>
      </c>
      <c r="B16" s="27" t="s">
        <v>125</v>
      </c>
      <c r="C16" s="27" t="s">
        <v>99</v>
      </c>
      <c r="D16" s="25" t="s">
        <v>126</v>
      </c>
    </row>
    <row r="17" spans="1:4" ht="16.5" x14ac:dyDescent="0.3">
      <c r="A17" s="26">
        <v>13</v>
      </c>
      <c r="B17" s="27" t="s">
        <v>127</v>
      </c>
      <c r="C17" s="27" t="s">
        <v>119</v>
      </c>
      <c r="D17" s="25" t="s">
        <v>128</v>
      </c>
    </row>
    <row r="18" spans="1:4" ht="16.5" x14ac:dyDescent="0.3">
      <c r="A18" s="26">
        <v>14</v>
      </c>
      <c r="B18" s="27" t="s">
        <v>129</v>
      </c>
      <c r="C18" s="27" t="s">
        <v>104</v>
      </c>
      <c r="D18" s="25" t="s">
        <v>130</v>
      </c>
    </row>
    <row r="19" spans="1:4" ht="16.5" x14ac:dyDescent="0.3">
      <c r="A19" s="26">
        <v>15</v>
      </c>
      <c r="B19" s="27" t="s">
        <v>131</v>
      </c>
      <c r="C19" s="27" t="s">
        <v>132</v>
      </c>
      <c r="D19" s="25" t="s">
        <v>133</v>
      </c>
    </row>
    <row r="20" spans="1:4" ht="16.5" x14ac:dyDescent="0.3">
      <c r="A20" s="26">
        <v>16</v>
      </c>
      <c r="B20" s="27" t="s">
        <v>134</v>
      </c>
      <c r="C20" s="27" t="s">
        <v>99</v>
      </c>
      <c r="D20" s="25" t="s">
        <v>135</v>
      </c>
    </row>
    <row r="21" spans="1:4" ht="16.5" x14ac:dyDescent="0.3">
      <c r="A21" s="26">
        <v>17</v>
      </c>
      <c r="B21" s="27" t="s">
        <v>136</v>
      </c>
      <c r="C21" s="27" t="s">
        <v>132</v>
      </c>
      <c r="D21" s="25" t="s">
        <v>137</v>
      </c>
    </row>
    <row r="22" spans="1:4" ht="16.5" x14ac:dyDescent="0.3">
      <c r="A22" s="26">
        <v>18</v>
      </c>
      <c r="B22" s="27" t="s">
        <v>138</v>
      </c>
      <c r="C22" s="27" t="s">
        <v>104</v>
      </c>
      <c r="D22" s="25" t="s">
        <v>139</v>
      </c>
    </row>
    <row r="23" spans="1:4" ht="16.5" x14ac:dyDescent="0.3">
      <c r="A23" s="26">
        <v>19</v>
      </c>
      <c r="B23" s="27" t="s">
        <v>140</v>
      </c>
      <c r="C23" s="27" t="s">
        <v>107</v>
      </c>
      <c r="D23" s="25" t="s">
        <v>141</v>
      </c>
    </row>
    <row r="24" spans="1:4" ht="16.5" x14ac:dyDescent="0.3">
      <c r="A24" s="26">
        <v>20</v>
      </c>
      <c r="B24" s="27" t="s">
        <v>142</v>
      </c>
      <c r="C24" s="27" t="s">
        <v>119</v>
      </c>
      <c r="D24" s="25" t="s">
        <v>143</v>
      </c>
    </row>
    <row r="25" spans="1:4" ht="16.5" x14ac:dyDescent="0.3">
      <c r="A25" s="26">
        <v>21</v>
      </c>
      <c r="B25" s="27" t="s">
        <v>144</v>
      </c>
      <c r="C25" s="27" t="s">
        <v>132</v>
      </c>
      <c r="D25" s="25" t="s">
        <v>145</v>
      </c>
    </row>
    <row r="26" spans="1:4" ht="16.5" x14ac:dyDescent="0.3">
      <c r="A26" s="26">
        <v>22</v>
      </c>
      <c r="B26" s="27" t="s">
        <v>146</v>
      </c>
      <c r="C26" s="27" t="s">
        <v>119</v>
      </c>
      <c r="D26" s="25" t="s">
        <v>147</v>
      </c>
    </row>
    <row r="27" spans="1:4" ht="16.5" x14ac:dyDescent="0.3">
      <c r="A27" s="26">
        <v>23</v>
      </c>
      <c r="B27" s="27" t="s">
        <v>148</v>
      </c>
      <c r="C27" s="27" t="s">
        <v>132</v>
      </c>
      <c r="D27" s="25" t="s">
        <v>149</v>
      </c>
    </row>
    <row r="28" spans="1:4" ht="16.5" x14ac:dyDescent="0.3">
      <c r="A28" s="26">
        <v>24</v>
      </c>
      <c r="B28" s="27" t="s">
        <v>150</v>
      </c>
      <c r="C28" s="27" t="s">
        <v>99</v>
      </c>
      <c r="D28" s="25" t="s">
        <v>151</v>
      </c>
    </row>
    <row r="29" spans="1:4" ht="16.5" x14ac:dyDescent="0.3">
      <c r="A29" s="26">
        <v>25</v>
      </c>
      <c r="B29" s="27" t="s">
        <v>152</v>
      </c>
      <c r="C29" s="27" t="s">
        <v>107</v>
      </c>
      <c r="D29" s="25" t="s">
        <v>153</v>
      </c>
    </row>
    <row r="30" spans="1:4" ht="16.5" x14ac:dyDescent="0.3">
      <c r="A30" s="26">
        <v>26</v>
      </c>
      <c r="B30" s="27" t="s">
        <v>154</v>
      </c>
      <c r="C30" s="27" t="s">
        <v>110</v>
      </c>
      <c r="D30" s="25" t="s">
        <v>155</v>
      </c>
    </row>
    <row r="31" spans="1:4" ht="16.5" x14ac:dyDescent="0.3">
      <c r="A31" s="26">
        <v>27</v>
      </c>
      <c r="B31" s="27" t="s">
        <v>156</v>
      </c>
      <c r="C31" s="27" t="s">
        <v>132</v>
      </c>
      <c r="D31" s="25" t="s">
        <v>157</v>
      </c>
    </row>
    <row r="32" spans="1:4" ht="16.5" x14ac:dyDescent="0.3">
      <c r="A32" s="26">
        <v>28</v>
      </c>
      <c r="B32" s="27" t="s">
        <v>158</v>
      </c>
      <c r="C32" s="27" t="s">
        <v>99</v>
      </c>
      <c r="D32" s="25" t="s">
        <v>159</v>
      </c>
    </row>
    <row r="33" spans="1:4" ht="16.5" x14ac:dyDescent="0.3">
      <c r="A33" s="26">
        <v>29</v>
      </c>
      <c r="B33" s="27" t="s">
        <v>160</v>
      </c>
      <c r="C33" s="27" t="s">
        <v>99</v>
      </c>
      <c r="D33" s="25" t="s">
        <v>161</v>
      </c>
    </row>
    <row r="34" spans="1:4" ht="16.5" x14ac:dyDescent="0.3">
      <c r="A34" s="26">
        <v>30</v>
      </c>
      <c r="B34" s="27" t="s">
        <v>162</v>
      </c>
      <c r="C34" s="27" t="s">
        <v>132</v>
      </c>
      <c r="D34" s="25" t="s">
        <v>163</v>
      </c>
    </row>
    <row r="35" spans="1:4" ht="16.5" x14ac:dyDescent="0.3">
      <c r="A35" s="26">
        <v>31</v>
      </c>
      <c r="B35" s="27" t="s">
        <v>164</v>
      </c>
      <c r="C35" s="27" t="s">
        <v>119</v>
      </c>
      <c r="D35" s="25" t="s">
        <v>165</v>
      </c>
    </row>
    <row r="36" spans="1:4" ht="16.5" x14ac:dyDescent="0.3">
      <c r="A36" s="26">
        <v>32</v>
      </c>
      <c r="B36" s="27" t="s">
        <v>166</v>
      </c>
      <c r="C36" s="27" t="s">
        <v>104</v>
      </c>
      <c r="D36" s="25" t="s">
        <v>167</v>
      </c>
    </row>
    <row r="37" spans="1:4" ht="16.5" x14ac:dyDescent="0.3">
      <c r="A37" s="26">
        <v>33</v>
      </c>
      <c r="B37" s="27" t="s">
        <v>168</v>
      </c>
      <c r="C37" s="27" t="s">
        <v>99</v>
      </c>
      <c r="D37" s="25" t="s">
        <v>169</v>
      </c>
    </row>
    <row r="38" spans="1:4" ht="16.5" x14ac:dyDescent="0.3">
      <c r="A38" s="26">
        <v>34</v>
      </c>
      <c r="B38" s="27" t="s">
        <v>170</v>
      </c>
      <c r="C38" s="27" t="s">
        <v>119</v>
      </c>
      <c r="D38" s="25" t="s">
        <v>171</v>
      </c>
    </row>
    <row r="39" spans="1:4" ht="16.5" x14ac:dyDescent="0.3">
      <c r="A39" s="26">
        <v>35</v>
      </c>
      <c r="B39" s="27" t="s">
        <v>172</v>
      </c>
      <c r="C39" s="27" t="s">
        <v>110</v>
      </c>
      <c r="D39" s="25" t="s">
        <v>173</v>
      </c>
    </row>
    <row r="40" spans="1:4" ht="16.5" x14ac:dyDescent="0.3">
      <c r="A40" s="26">
        <v>36</v>
      </c>
      <c r="B40" s="27" t="s">
        <v>174</v>
      </c>
      <c r="C40" s="27" t="s">
        <v>119</v>
      </c>
      <c r="D40" s="25" t="s">
        <v>175</v>
      </c>
    </row>
    <row r="41" spans="1:4" ht="16.5" x14ac:dyDescent="0.3">
      <c r="A41" s="26">
        <v>37</v>
      </c>
      <c r="B41" s="27" t="s">
        <v>176</v>
      </c>
      <c r="C41" s="27" t="s">
        <v>110</v>
      </c>
      <c r="D41" s="25" t="s">
        <v>177</v>
      </c>
    </row>
    <row r="42" spans="1:4" ht="16.5" x14ac:dyDescent="0.3">
      <c r="A42" s="26">
        <v>38</v>
      </c>
      <c r="B42" s="27" t="s">
        <v>178</v>
      </c>
      <c r="C42" s="27" t="s">
        <v>132</v>
      </c>
      <c r="D42" s="25" t="s">
        <v>179</v>
      </c>
    </row>
    <row r="43" spans="1:4" ht="16.5" x14ac:dyDescent="0.3">
      <c r="A43" s="26">
        <v>39</v>
      </c>
      <c r="B43" s="27" t="s">
        <v>180</v>
      </c>
      <c r="C43" s="27" t="s">
        <v>119</v>
      </c>
      <c r="D43" s="25" t="s">
        <v>181</v>
      </c>
    </row>
    <row r="44" spans="1:4" ht="16.5" x14ac:dyDescent="0.3">
      <c r="A44" s="26">
        <v>40</v>
      </c>
      <c r="B44" s="27" t="s">
        <v>182</v>
      </c>
      <c r="C44" s="27" t="s">
        <v>119</v>
      </c>
      <c r="D44" s="25" t="s">
        <v>183</v>
      </c>
    </row>
    <row r="45" spans="1:4" ht="16.5" x14ac:dyDescent="0.3">
      <c r="A45" s="26">
        <v>41</v>
      </c>
      <c r="B45" s="27" t="s">
        <v>184</v>
      </c>
      <c r="C45" s="27" t="s">
        <v>99</v>
      </c>
      <c r="D45" s="25" t="s">
        <v>185</v>
      </c>
    </row>
    <row r="46" spans="1:4" ht="16.5" x14ac:dyDescent="0.3">
      <c r="A46" s="26">
        <v>42</v>
      </c>
      <c r="B46" s="27" t="s">
        <v>186</v>
      </c>
      <c r="C46" s="27" t="s">
        <v>119</v>
      </c>
      <c r="D46" s="25" t="s">
        <v>187</v>
      </c>
    </row>
    <row r="47" spans="1:4" ht="16.5" x14ac:dyDescent="0.3">
      <c r="A47" s="26">
        <v>43</v>
      </c>
      <c r="B47" s="27" t="s">
        <v>188</v>
      </c>
      <c r="C47" s="27" t="s">
        <v>104</v>
      </c>
      <c r="D47" s="25" t="s">
        <v>189</v>
      </c>
    </row>
    <row r="48" spans="1:4" ht="16.5" x14ac:dyDescent="0.3">
      <c r="A48" s="26">
        <v>44</v>
      </c>
      <c r="B48" s="27" t="s">
        <v>190</v>
      </c>
      <c r="C48" s="27" t="s">
        <v>119</v>
      </c>
      <c r="D48" s="25" t="s">
        <v>191</v>
      </c>
    </row>
    <row r="49" spans="1:4" ht="16.5" x14ac:dyDescent="0.3">
      <c r="A49" s="26">
        <v>45</v>
      </c>
      <c r="B49" s="27" t="s">
        <v>192</v>
      </c>
      <c r="C49" s="27" t="s">
        <v>132</v>
      </c>
      <c r="D49" s="25" t="s">
        <v>193</v>
      </c>
    </row>
    <row r="50" spans="1:4" ht="16.5" x14ac:dyDescent="0.3">
      <c r="A50" s="26">
        <v>46</v>
      </c>
      <c r="B50" s="27" t="s">
        <v>194</v>
      </c>
      <c r="C50" s="27" t="s">
        <v>104</v>
      </c>
      <c r="D50" s="25" t="s">
        <v>195</v>
      </c>
    </row>
    <row r="51" spans="1:4" ht="16.5" x14ac:dyDescent="0.3">
      <c r="A51" s="26">
        <v>47</v>
      </c>
      <c r="B51" s="27" t="s">
        <v>196</v>
      </c>
      <c r="C51" s="27" t="s">
        <v>104</v>
      </c>
      <c r="D51" s="25" t="s">
        <v>197</v>
      </c>
    </row>
    <row r="52" spans="1:4" ht="16.5" x14ac:dyDescent="0.3">
      <c r="A52" s="26">
        <v>48</v>
      </c>
      <c r="B52" s="27" t="s">
        <v>198</v>
      </c>
      <c r="C52" s="27" t="s">
        <v>104</v>
      </c>
      <c r="D52" s="25" t="s">
        <v>199</v>
      </c>
    </row>
    <row r="53" spans="1:4" ht="16.5" x14ac:dyDescent="0.3">
      <c r="A53" s="26">
        <v>49</v>
      </c>
      <c r="B53" s="27" t="s">
        <v>200</v>
      </c>
      <c r="C53" s="27" t="s">
        <v>110</v>
      </c>
      <c r="D53" s="25" t="s">
        <v>201</v>
      </c>
    </row>
    <row r="54" spans="1:4" ht="16.5" x14ac:dyDescent="0.3">
      <c r="A54" s="26">
        <v>50</v>
      </c>
      <c r="B54" s="27" t="s">
        <v>202</v>
      </c>
      <c r="C54" s="27" t="s">
        <v>104</v>
      </c>
      <c r="D54" s="25" t="s">
        <v>203</v>
      </c>
    </row>
    <row r="55" spans="1:4" ht="16.5" x14ac:dyDescent="0.3">
      <c r="A55" s="26">
        <v>51</v>
      </c>
      <c r="B55" s="27" t="s">
        <v>204</v>
      </c>
      <c r="C55" s="27" t="s">
        <v>119</v>
      </c>
      <c r="D55" s="25" t="s">
        <v>205</v>
      </c>
    </row>
    <row r="56" spans="1:4" ht="16.5" x14ac:dyDescent="0.3">
      <c r="A56" s="26">
        <v>52</v>
      </c>
      <c r="B56" s="27" t="s">
        <v>206</v>
      </c>
      <c r="C56" s="27" t="s">
        <v>119</v>
      </c>
      <c r="D56" s="25" t="s">
        <v>207</v>
      </c>
    </row>
    <row r="57" spans="1:4" ht="16.5" x14ac:dyDescent="0.3">
      <c r="A57" s="26">
        <v>53</v>
      </c>
      <c r="B57" s="27" t="s">
        <v>208</v>
      </c>
      <c r="C57" s="27" t="s">
        <v>104</v>
      </c>
      <c r="D57" s="25" t="s">
        <v>209</v>
      </c>
    </row>
    <row r="58" spans="1:4" ht="16.5" x14ac:dyDescent="0.3">
      <c r="A58" s="26">
        <v>54</v>
      </c>
      <c r="B58" s="27" t="s">
        <v>210</v>
      </c>
      <c r="C58" s="27" t="s">
        <v>132</v>
      </c>
      <c r="D58" s="25" t="s">
        <v>211</v>
      </c>
    </row>
    <row r="59" spans="1:4" ht="16.5" x14ac:dyDescent="0.3">
      <c r="A59" s="26">
        <v>55</v>
      </c>
      <c r="B59" s="27" t="s">
        <v>212</v>
      </c>
      <c r="C59" s="27" t="s">
        <v>119</v>
      </c>
      <c r="D59" s="25" t="s">
        <v>213</v>
      </c>
    </row>
    <row r="60" spans="1:4" ht="16.5" x14ac:dyDescent="0.3">
      <c r="A60" s="26">
        <v>56</v>
      </c>
      <c r="B60" s="27" t="s">
        <v>214</v>
      </c>
      <c r="C60" s="27" t="s">
        <v>110</v>
      </c>
      <c r="D60" s="25" t="s">
        <v>215</v>
      </c>
    </row>
    <row r="61" spans="1:4" ht="16.5" x14ac:dyDescent="0.3">
      <c r="A61" s="26">
        <v>57</v>
      </c>
      <c r="B61" s="27" t="s">
        <v>216</v>
      </c>
      <c r="C61" s="27" t="s">
        <v>107</v>
      </c>
      <c r="D61" s="25" t="s">
        <v>217</v>
      </c>
    </row>
    <row r="62" spans="1:4" ht="16.5" x14ac:dyDescent="0.3">
      <c r="A62" s="26">
        <v>58</v>
      </c>
      <c r="B62" s="27" t="s">
        <v>218</v>
      </c>
      <c r="C62" s="27" t="s">
        <v>99</v>
      </c>
      <c r="D62" s="25" t="s">
        <v>219</v>
      </c>
    </row>
    <row r="63" spans="1:4" ht="16.5" x14ac:dyDescent="0.3">
      <c r="A63" s="26">
        <v>59</v>
      </c>
      <c r="B63" s="27" t="s">
        <v>220</v>
      </c>
      <c r="C63" s="27" t="s">
        <v>119</v>
      </c>
      <c r="D63" s="25" t="s">
        <v>221</v>
      </c>
    </row>
    <row r="64" spans="1:4" ht="16.5" x14ac:dyDescent="0.3">
      <c r="A64" s="26">
        <v>60</v>
      </c>
      <c r="B64" s="27" t="s">
        <v>222</v>
      </c>
      <c r="C64" s="27" t="s">
        <v>104</v>
      </c>
      <c r="D64" s="25" t="s">
        <v>223</v>
      </c>
    </row>
    <row r="65" spans="1:4" ht="16.5" x14ac:dyDescent="0.3">
      <c r="A65" s="26">
        <v>61</v>
      </c>
      <c r="B65" s="27" t="s">
        <v>224</v>
      </c>
      <c r="C65" s="27" t="s">
        <v>110</v>
      </c>
      <c r="D65" s="25" t="s">
        <v>225</v>
      </c>
    </row>
    <row r="66" spans="1:4" ht="16.5" x14ac:dyDescent="0.3">
      <c r="A66" s="26">
        <v>62</v>
      </c>
      <c r="B66" s="27" t="s">
        <v>226</v>
      </c>
      <c r="C66" s="27" t="s">
        <v>99</v>
      </c>
      <c r="D66" s="25" t="s">
        <v>227</v>
      </c>
    </row>
    <row r="67" spans="1:4" ht="16.5" x14ac:dyDescent="0.3">
      <c r="A67" s="26">
        <v>63</v>
      </c>
      <c r="B67" s="27" t="s">
        <v>228</v>
      </c>
      <c r="C67" s="27" t="s">
        <v>119</v>
      </c>
      <c r="D67" s="25" t="s">
        <v>229</v>
      </c>
    </row>
    <row r="68" spans="1:4" ht="16.5" x14ac:dyDescent="0.3">
      <c r="A68" s="26">
        <v>64</v>
      </c>
      <c r="B68" s="27" t="s">
        <v>230</v>
      </c>
      <c r="C68" s="27" t="s">
        <v>119</v>
      </c>
      <c r="D68" s="25" t="s">
        <v>231</v>
      </c>
    </row>
    <row r="69" spans="1:4" ht="16.5" x14ac:dyDescent="0.3">
      <c r="A69" s="26">
        <v>65</v>
      </c>
      <c r="B69" s="27" t="s">
        <v>232</v>
      </c>
      <c r="C69" s="27" t="s">
        <v>99</v>
      </c>
      <c r="D69" s="25" t="s">
        <v>233</v>
      </c>
    </row>
    <row r="70" spans="1:4" ht="16.5" x14ac:dyDescent="0.3">
      <c r="A70" s="26">
        <v>66</v>
      </c>
      <c r="B70" s="27" t="s">
        <v>234</v>
      </c>
      <c r="C70" s="27" t="s">
        <v>104</v>
      </c>
      <c r="D70" s="25" t="s">
        <v>235</v>
      </c>
    </row>
    <row r="71" spans="1:4" ht="16.5" x14ac:dyDescent="0.3">
      <c r="A71" s="26">
        <v>67</v>
      </c>
      <c r="B71" s="27" t="s">
        <v>236</v>
      </c>
      <c r="C71" s="27" t="s">
        <v>99</v>
      </c>
      <c r="D71" s="25" t="s">
        <v>237</v>
      </c>
    </row>
    <row r="72" spans="1:4" ht="16.5" x14ac:dyDescent="0.3">
      <c r="A72" s="26">
        <v>68</v>
      </c>
      <c r="B72" s="27" t="s">
        <v>238</v>
      </c>
      <c r="C72" s="27" t="s">
        <v>104</v>
      </c>
      <c r="D72" s="25" t="s">
        <v>239</v>
      </c>
    </row>
    <row r="73" spans="1:4" ht="16.5" x14ac:dyDescent="0.3">
      <c r="A73" s="26">
        <v>69</v>
      </c>
      <c r="B73" s="27" t="s">
        <v>240</v>
      </c>
      <c r="C73" s="27" t="s">
        <v>119</v>
      </c>
      <c r="D73" s="25" t="s">
        <v>241</v>
      </c>
    </row>
    <row r="74" spans="1:4" ht="16.5" x14ac:dyDescent="0.3">
      <c r="A74" s="26">
        <v>70</v>
      </c>
      <c r="B74" s="27" t="s">
        <v>242</v>
      </c>
      <c r="C74" s="27" t="s">
        <v>104</v>
      </c>
      <c r="D74" s="25" t="s">
        <v>243</v>
      </c>
    </row>
    <row r="75" spans="1:4" ht="16.5" x14ac:dyDescent="0.3">
      <c r="A75" s="26">
        <v>71</v>
      </c>
      <c r="B75" s="27" t="s">
        <v>244</v>
      </c>
      <c r="C75" s="27" t="s">
        <v>132</v>
      </c>
      <c r="D75" s="25" t="s">
        <v>245</v>
      </c>
    </row>
    <row r="76" spans="1:4" ht="16.5" x14ac:dyDescent="0.3">
      <c r="A76" s="26">
        <v>72</v>
      </c>
      <c r="B76" s="27" t="s">
        <v>246</v>
      </c>
      <c r="C76" s="27" t="s">
        <v>119</v>
      </c>
      <c r="D76" s="25" t="s">
        <v>247</v>
      </c>
    </row>
    <row r="77" spans="1:4" ht="16.5" x14ac:dyDescent="0.3">
      <c r="A77" s="22"/>
      <c r="B77" s="22"/>
      <c r="C77" s="22"/>
      <c r="D77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6694-DC0D-4BE8-9859-3458833224CD}">
  <dimension ref="A1:D8"/>
  <sheetViews>
    <sheetView workbookViewId="0"/>
  </sheetViews>
  <sheetFormatPr defaultColWidth="8.875" defaultRowHeight="14.25" x14ac:dyDescent="0.2"/>
  <sheetData>
    <row r="1" spans="1:4" x14ac:dyDescent="0.2">
      <c r="A1" s="21" t="s">
        <v>248</v>
      </c>
    </row>
    <row r="2" spans="1:4" x14ac:dyDescent="0.2">
      <c r="B2" s="4"/>
    </row>
    <row r="3" spans="1:4" x14ac:dyDescent="0.2">
      <c r="C3" s="4"/>
    </row>
    <row r="4" spans="1:4" x14ac:dyDescent="0.2">
      <c r="C4" s="4"/>
    </row>
    <row r="5" spans="1:4" x14ac:dyDescent="0.2">
      <c r="C5" s="4"/>
    </row>
    <row r="6" spans="1:4" x14ac:dyDescent="0.2">
      <c r="C6" s="4"/>
    </row>
    <row r="7" spans="1:4" x14ac:dyDescent="0.2">
      <c r="C7" s="4"/>
    </row>
    <row r="8" spans="1:4" x14ac:dyDescent="0.2">
      <c r="C8" s="4"/>
      <c r="D8" s="4"/>
    </row>
  </sheetData>
  <pageMargins left="0.7" right="0.7" top="0.75" bottom="0.75" header="0.3" footer="0.3"/>
  <headerFooter>
    <oddHeader>&amp;C&amp;"Calibri"&amp;10&amp;K000000 Official&amp;1#_x000D_</oddHeader>
    <oddFooter>&amp;C_x000D_&amp;1#&amp;"Calibri"&amp;10&amp;K000000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FC6D5-AAC8-4523-858D-0892689D2677}">
  <sheetPr>
    <tabColor rgb="FF00B0F0"/>
    <pageSetUpPr fitToPage="1"/>
  </sheetPr>
  <dimension ref="A1:V155"/>
  <sheetViews>
    <sheetView zoomScale="70" zoomScaleNormal="70" workbookViewId="0">
      <selection activeCell="F41" sqref="F41"/>
    </sheetView>
  </sheetViews>
  <sheetFormatPr defaultColWidth="8.875" defaultRowHeight="14.25" x14ac:dyDescent="0.2"/>
  <cols>
    <col min="1" max="1" width="8.625" style="2" customWidth="1"/>
    <col min="2" max="2" width="9.625" style="2" customWidth="1"/>
    <col min="3" max="3" width="9.625" style="56" customWidth="1"/>
    <col min="4" max="4" width="9.625" style="2" customWidth="1"/>
    <col min="5" max="5" width="9.625" style="56" customWidth="1"/>
    <col min="6" max="6" width="60.625" customWidth="1"/>
    <col min="7" max="7" width="17.125" bestFit="1" customWidth="1"/>
    <col min="8" max="8" width="18.125" customWidth="1"/>
    <col min="9" max="9" width="10.125" customWidth="1"/>
    <col min="10" max="10" width="15.125" customWidth="1"/>
    <col min="11" max="11" width="38.875" customWidth="1"/>
    <col min="12" max="13" width="11.625" customWidth="1"/>
    <col min="14" max="14" width="11.625" style="2" customWidth="1"/>
    <col min="15" max="18" width="8.875" style="2"/>
    <col min="22" max="22" width="8.875" style="5"/>
    <col min="23" max="23" width="16.125" bestFit="1" customWidth="1"/>
    <col min="25" max="25" width="15.125" customWidth="1"/>
  </cols>
  <sheetData>
    <row r="1" spans="1:22" ht="18" x14ac:dyDescent="0.25">
      <c r="A1" s="38"/>
      <c r="B1" s="118" t="s">
        <v>249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</row>
    <row r="2" spans="1:22" x14ac:dyDescent="0.2">
      <c r="A2" s="121" t="s">
        <v>250</v>
      </c>
      <c r="B2" s="121"/>
      <c r="C2" s="121"/>
      <c r="D2" s="121"/>
      <c r="E2" s="121"/>
      <c r="F2" s="119" t="s">
        <v>10</v>
      </c>
      <c r="G2" s="119" t="s">
        <v>11</v>
      </c>
      <c r="H2" s="119" t="s">
        <v>13</v>
      </c>
      <c r="I2" s="120" t="s">
        <v>15</v>
      </c>
      <c r="J2" s="119" t="s">
        <v>17</v>
      </c>
      <c r="K2" s="119" t="s">
        <v>26</v>
      </c>
      <c r="L2" s="119"/>
      <c r="M2" s="119"/>
      <c r="N2" s="119"/>
      <c r="O2" s="119" t="s">
        <v>34</v>
      </c>
      <c r="P2" s="119"/>
      <c r="Q2" s="119"/>
      <c r="R2" s="119"/>
    </row>
    <row r="3" spans="1:22" x14ac:dyDescent="0.2">
      <c r="A3" s="29" t="s">
        <v>0</v>
      </c>
      <c r="B3" s="29" t="s">
        <v>2</v>
      </c>
      <c r="C3" s="51" t="s">
        <v>4</v>
      </c>
      <c r="D3" s="29" t="s">
        <v>6</v>
      </c>
      <c r="E3" s="51" t="s">
        <v>8</v>
      </c>
      <c r="F3" s="119"/>
      <c r="G3" s="119"/>
      <c r="H3" s="119"/>
      <c r="I3" s="120"/>
      <c r="J3" s="119"/>
      <c r="K3" s="7" t="s">
        <v>27</v>
      </c>
      <c r="L3" s="7" t="s">
        <v>4</v>
      </c>
      <c r="M3" s="7" t="s">
        <v>30</v>
      </c>
      <c r="N3" s="28" t="s">
        <v>32</v>
      </c>
      <c r="O3" s="28" t="s">
        <v>35</v>
      </c>
      <c r="P3" s="28" t="s">
        <v>37</v>
      </c>
      <c r="Q3" s="28" t="s">
        <v>39</v>
      </c>
      <c r="R3" s="28" t="s">
        <v>41</v>
      </c>
      <c r="T3" s="3" t="s">
        <v>251</v>
      </c>
    </row>
    <row r="4" spans="1:22" ht="14.25" customHeight="1" x14ac:dyDescent="0.2">
      <c r="A4" s="48" t="s">
        <v>252</v>
      </c>
      <c r="B4" s="48"/>
      <c r="C4" s="52">
        <f>$C$26-TIME(5,30,0)</f>
        <v>0.20833333333333334</v>
      </c>
      <c r="D4" s="52"/>
      <c r="E4" s="52"/>
      <c r="F4" s="36" t="s">
        <v>253</v>
      </c>
      <c r="G4" s="18"/>
      <c r="H4" s="18"/>
      <c r="I4" s="18" t="s">
        <v>254</v>
      </c>
      <c r="J4" s="37"/>
      <c r="K4" s="37"/>
      <c r="L4" s="105"/>
      <c r="M4" s="105"/>
      <c r="N4" s="38" t="s">
        <v>255</v>
      </c>
      <c r="O4" s="38"/>
      <c r="P4" s="38"/>
      <c r="Q4" s="38"/>
      <c r="R4" s="38" t="s">
        <v>256</v>
      </c>
    </row>
    <row r="5" spans="1:22" ht="14.25" customHeight="1" x14ac:dyDescent="0.2">
      <c r="A5" s="48" t="s">
        <v>252</v>
      </c>
      <c r="B5" s="48"/>
      <c r="C5" s="52">
        <f>$C$26-TIME(5,15,0)</f>
        <v>0.21875</v>
      </c>
      <c r="D5" s="52">
        <f t="shared" ref="D5:D18" si="0">E5-C5</f>
        <v>2.0833333333333343E-2</v>
      </c>
      <c r="E5" s="52">
        <v>0.23958333333333334</v>
      </c>
      <c r="F5" s="39" t="s">
        <v>257</v>
      </c>
      <c r="G5" s="18"/>
      <c r="H5" s="18"/>
      <c r="I5" s="18" t="s">
        <v>254</v>
      </c>
      <c r="J5" s="37"/>
      <c r="K5" s="37"/>
      <c r="L5" s="105"/>
      <c r="M5" s="105"/>
      <c r="N5" s="38" t="s">
        <v>255</v>
      </c>
      <c r="O5" s="38"/>
      <c r="P5" s="38"/>
      <c r="Q5" s="38"/>
      <c r="R5" s="38"/>
    </row>
    <row r="6" spans="1:22" x14ac:dyDescent="0.2">
      <c r="A6" s="48" t="s">
        <v>252</v>
      </c>
      <c r="B6" s="48"/>
      <c r="C6" s="52">
        <v>0.25</v>
      </c>
      <c r="D6" s="52">
        <f t="shared" si="0"/>
        <v>0.75</v>
      </c>
      <c r="E6" s="52">
        <v>1</v>
      </c>
      <c r="F6" s="36" t="s">
        <v>258</v>
      </c>
      <c r="G6" s="18"/>
      <c r="H6" s="18"/>
      <c r="I6" s="18" t="s">
        <v>254</v>
      </c>
      <c r="J6" s="37"/>
      <c r="K6" s="37"/>
      <c r="L6" s="105"/>
      <c r="M6" s="105"/>
      <c r="N6" s="38" t="s">
        <v>255</v>
      </c>
      <c r="O6" s="38"/>
      <c r="P6" s="38"/>
      <c r="Q6" s="38"/>
      <c r="R6" s="38" t="s">
        <v>256</v>
      </c>
      <c r="T6" s="4"/>
      <c r="U6" s="4"/>
      <c r="V6" s="6"/>
    </row>
    <row r="7" spans="1:22" x14ac:dyDescent="0.2">
      <c r="A7" s="48" t="s">
        <v>252</v>
      </c>
      <c r="B7" s="48"/>
      <c r="C7" s="52">
        <v>0.25694444444444448</v>
      </c>
      <c r="D7" s="52"/>
      <c r="E7" s="52"/>
      <c r="F7" s="18" t="s">
        <v>259</v>
      </c>
      <c r="G7" s="18"/>
      <c r="H7" s="18"/>
      <c r="I7" s="18" t="s">
        <v>254</v>
      </c>
      <c r="J7" s="37"/>
      <c r="K7" s="37"/>
      <c r="L7" s="105"/>
      <c r="M7" s="105"/>
      <c r="N7" s="38" t="s">
        <v>255</v>
      </c>
      <c r="O7" s="38"/>
      <c r="P7" s="38"/>
      <c r="Q7" s="38"/>
      <c r="R7" s="38" t="s">
        <v>256</v>
      </c>
      <c r="T7" s="4"/>
      <c r="U7" s="4"/>
      <c r="V7" s="6"/>
    </row>
    <row r="8" spans="1:22" x14ac:dyDescent="0.2">
      <c r="A8" s="48" t="s">
        <v>252</v>
      </c>
      <c r="B8" s="48"/>
      <c r="C8" s="52">
        <v>0.27083333333333331</v>
      </c>
      <c r="D8" s="52">
        <f t="shared" si="0"/>
        <v>0.66666666666666674</v>
      </c>
      <c r="E8" s="52">
        <v>0.9375</v>
      </c>
      <c r="F8" s="62" t="s">
        <v>260</v>
      </c>
      <c r="G8" s="18" t="s">
        <v>261</v>
      </c>
      <c r="H8" s="18"/>
      <c r="I8" s="18" t="s">
        <v>254</v>
      </c>
      <c r="J8" s="37"/>
      <c r="K8" s="37"/>
      <c r="L8" s="105"/>
      <c r="M8" s="105"/>
      <c r="N8" s="38" t="s">
        <v>255</v>
      </c>
      <c r="O8" s="38"/>
      <c r="P8" s="38"/>
      <c r="Q8" s="38"/>
      <c r="R8" s="38" t="s">
        <v>256</v>
      </c>
      <c r="T8" s="4"/>
      <c r="U8" s="4"/>
    </row>
    <row r="9" spans="1:22" x14ac:dyDescent="0.2">
      <c r="A9" s="48" t="s">
        <v>252</v>
      </c>
      <c r="B9" s="48"/>
      <c r="C9" s="52">
        <f>$C$26-TIME(3,30,0)</f>
        <v>0.29166666666666663</v>
      </c>
      <c r="D9" s="52"/>
      <c r="E9" s="52"/>
      <c r="F9" s="69" t="s">
        <v>262</v>
      </c>
      <c r="G9" s="18"/>
      <c r="H9" s="18"/>
      <c r="I9" s="18" t="s">
        <v>254</v>
      </c>
      <c r="J9" s="37"/>
      <c r="K9" s="37"/>
      <c r="L9" s="105"/>
      <c r="M9" s="105"/>
      <c r="N9" s="38" t="s">
        <v>255</v>
      </c>
      <c r="O9" s="38"/>
      <c r="P9" s="38"/>
      <c r="Q9" s="38"/>
      <c r="R9" s="38"/>
      <c r="T9" s="4"/>
      <c r="U9" s="4"/>
    </row>
    <row r="10" spans="1:22" x14ac:dyDescent="0.2">
      <c r="A10" s="48" t="s">
        <v>252</v>
      </c>
      <c r="B10" s="48"/>
      <c r="C10" s="52">
        <v>0.29166666666666669</v>
      </c>
      <c r="D10" s="52">
        <f t="shared" si="0"/>
        <v>0.29166666666666657</v>
      </c>
      <c r="E10" s="52">
        <f>$C$69+TIME(1,0,0)</f>
        <v>0.58333333333333326</v>
      </c>
      <c r="F10" s="18" t="s">
        <v>263</v>
      </c>
      <c r="G10" s="18" t="s">
        <v>264</v>
      </c>
      <c r="H10" s="18"/>
      <c r="I10" s="18" t="s">
        <v>254</v>
      </c>
      <c r="J10" s="37"/>
      <c r="K10" s="37"/>
      <c r="L10" s="105"/>
      <c r="M10" s="105"/>
      <c r="N10" s="38" t="s">
        <v>255</v>
      </c>
      <c r="O10" s="38" t="s">
        <v>256</v>
      </c>
      <c r="P10" s="38"/>
      <c r="Q10" s="38"/>
      <c r="R10" s="38" t="s">
        <v>256</v>
      </c>
      <c r="T10" s="4"/>
      <c r="U10" s="4"/>
    </row>
    <row r="11" spans="1:22" x14ac:dyDescent="0.2">
      <c r="A11" s="48" t="s">
        <v>252</v>
      </c>
      <c r="B11" s="48"/>
      <c r="C11" s="52">
        <v>0.29166666666666669</v>
      </c>
      <c r="D11" s="52">
        <f t="shared" si="0"/>
        <v>0.10416666666666663</v>
      </c>
      <c r="E11" s="52">
        <v>0.39583333333333331</v>
      </c>
      <c r="F11" s="62" t="s">
        <v>265</v>
      </c>
      <c r="G11" s="18" t="s">
        <v>266</v>
      </c>
      <c r="H11" s="18"/>
      <c r="I11" s="18" t="s">
        <v>254</v>
      </c>
      <c r="J11" s="37"/>
      <c r="K11" s="37"/>
      <c r="L11" s="105"/>
      <c r="M11" s="105"/>
      <c r="N11" s="38" t="s">
        <v>255</v>
      </c>
      <c r="O11" s="38" t="s">
        <v>256</v>
      </c>
      <c r="P11" s="38"/>
      <c r="Q11" s="38"/>
      <c r="R11" s="38" t="s">
        <v>256</v>
      </c>
      <c r="T11" s="4"/>
      <c r="U11" s="4"/>
    </row>
    <row r="12" spans="1:22" ht="14.25" customHeight="1" x14ac:dyDescent="0.2">
      <c r="A12" s="48" t="s">
        <v>252</v>
      </c>
      <c r="B12" s="48"/>
      <c r="C12" s="52">
        <f>$C$26-TIME(2,30,0)</f>
        <v>0.33333333333333331</v>
      </c>
      <c r="D12" s="52"/>
      <c r="E12" s="52"/>
      <c r="F12" s="69" t="s">
        <v>267</v>
      </c>
      <c r="G12" s="18"/>
      <c r="H12" s="18"/>
      <c r="I12" s="18" t="s">
        <v>254</v>
      </c>
      <c r="J12" s="37"/>
      <c r="K12" s="37"/>
      <c r="L12" s="105"/>
      <c r="M12" s="105"/>
      <c r="N12" s="38" t="s">
        <v>255</v>
      </c>
      <c r="O12" s="38"/>
      <c r="P12" s="38"/>
      <c r="Q12" s="38"/>
      <c r="R12" s="38"/>
      <c r="T12" s="4"/>
      <c r="U12" s="4"/>
    </row>
    <row r="13" spans="1:22" x14ac:dyDescent="0.2">
      <c r="A13" s="48" t="s">
        <v>252</v>
      </c>
      <c r="B13" s="48"/>
      <c r="C13" s="52">
        <f>$C$26-TIME(2,30,0)</f>
        <v>0.33333333333333331</v>
      </c>
      <c r="D13" s="52">
        <f t="shared" si="0"/>
        <v>9.375E-2</v>
      </c>
      <c r="E13" s="52">
        <f>$C$26-TIME(0,15,0)</f>
        <v>0.42708333333333331</v>
      </c>
      <c r="F13" s="18" t="s">
        <v>268</v>
      </c>
      <c r="G13" s="18" t="s">
        <v>269</v>
      </c>
      <c r="H13" s="18"/>
      <c r="I13" s="18" t="s">
        <v>254</v>
      </c>
      <c r="J13" s="37"/>
      <c r="K13" s="37"/>
      <c r="L13" s="105"/>
      <c r="M13" s="105"/>
      <c r="N13" s="38" t="s">
        <v>255</v>
      </c>
      <c r="O13" s="38" t="s">
        <v>256</v>
      </c>
      <c r="P13" s="38"/>
      <c r="Q13" s="38"/>
      <c r="R13" s="38" t="s">
        <v>256</v>
      </c>
      <c r="T13" s="4"/>
      <c r="U13" s="4"/>
      <c r="V13" s="6"/>
    </row>
    <row r="14" spans="1:22" x14ac:dyDescent="0.2">
      <c r="A14" s="48" t="s">
        <v>252</v>
      </c>
      <c r="B14" s="48"/>
      <c r="C14" s="52">
        <f>$C$26-TIME(2,0,0)</f>
        <v>0.35416666666666669</v>
      </c>
      <c r="D14" s="52"/>
      <c r="E14" s="52"/>
      <c r="F14" s="92" t="s">
        <v>53</v>
      </c>
      <c r="G14" s="18"/>
      <c r="H14" s="18"/>
      <c r="I14" s="18" t="s">
        <v>254</v>
      </c>
      <c r="J14" s="37"/>
      <c r="K14" s="37"/>
      <c r="L14" s="105"/>
      <c r="M14" s="105"/>
      <c r="N14" s="38" t="s">
        <v>255</v>
      </c>
      <c r="O14" s="38"/>
      <c r="P14" s="38"/>
      <c r="Q14" s="38"/>
      <c r="R14" s="38"/>
      <c r="T14" s="4"/>
      <c r="U14" s="4"/>
    </row>
    <row r="15" spans="1:22" x14ac:dyDescent="0.2">
      <c r="A15" s="48" t="s">
        <v>252</v>
      </c>
      <c r="B15" s="48"/>
      <c r="C15" s="52">
        <f>$C$26-TIME(2,0,0)</f>
        <v>0.35416666666666669</v>
      </c>
      <c r="D15" s="52"/>
      <c r="E15" s="52"/>
      <c r="F15" s="18" t="s">
        <v>270</v>
      </c>
      <c r="G15" s="18" t="s">
        <v>271</v>
      </c>
      <c r="H15" s="18"/>
      <c r="I15" s="18" t="s">
        <v>254</v>
      </c>
      <c r="J15" s="37"/>
      <c r="K15" s="37"/>
      <c r="L15" s="105"/>
      <c r="M15" s="105"/>
      <c r="N15" s="38" t="s">
        <v>255</v>
      </c>
      <c r="O15" s="38"/>
      <c r="P15" s="38"/>
      <c r="Q15" s="38"/>
      <c r="R15" s="38" t="s">
        <v>256</v>
      </c>
      <c r="T15" s="4"/>
      <c r="U15" s="4"/>
      <c r="V15" s="6"/>
    </row>
    <row r="16" spans="1:22" x14ac:dyDescent="0.2">
      <c r="A16" s="48" t="s">
        <v>252</v>
      </c>
      <c r="B16" s="48"/>
      <c r="C16" s="52">
        <f>$C$26-TIME(1,30,0)</f>
        <v>0.375</v>
      </c>
      <c r="D16" s="52">
        <v>6.25E-2</v>
      </c>
      <c r="E16" s="52">
        <f>$C$26-TIME(0,0,0)</f>
        <v>0.4375</v>
      </c>
      <c r="F16" s="69" t="s">
        <v>55</v>
      </c>
      <c r="G16" s="18" t="s">
        <v>39</v>
      </c>
      <c r="H16" s="18"/>
      <c r="I16" s="18" t="s">
        <v>254</v>
      </c>
      <c r="J16" s="37"/>
      <c r="K16" s="37"/>
      <c r="L16" s="105"/>
      <c r="M16" s="105"/>
      <c r="N16" s="38" t="s">
        <v>255</v>
      </c>
      <c r="O16" s="38" t="s">
        <v>256</v>
      </c>
      <c r="P16" s="38"/>
      <c r="Q16" s="38" t="s">
        <v>256</v>
      </c>
      <c r="R16" s="38" t="s">
        <v>256</v>
      </c>
      <c r="T16" s="4"/>
      <c r="U16" s="4"/>
    </row>
    <row r="17" spans="1:21" x14ac:dyDescent="0.2">
      <c r="A17" s="48" t="s">
        <v>252</v>
      </c>
      <c r="B17" s="48"/>
      <c r="C17" s="52">
        <f>$C$26-TIME(1,15,0)</f>
        <v>0.38541666666666669</v>
      </c>
      <c r="D17" s="52"/>
      <c r="E17" s="52"/>
      <c r="F17" s="18" t="s">
        <v>272</v>
      </c>
      <c r="G17" s="18" t="s">
        <v>271</v>
      </c>
      <c r="H17" s="18"/>
      <c r="I17" s="18" t="s">
        <v>254</v>
      </c>
      <c r="J17" s="37"/>
      <c r="K17" s="37"/>
      <c r="L17" s="105"/>
      <c r="M17" s="105"/>
      <c r="N17" s="38" t="s">
        <v>255</v>
      </c>
      <c r="O17" s="38"/>
      <c r="P17" s="38"/>
      <c r="Q17" s="38"/>
      <c r="R17" s="38" t="s">
        <v>256</v>
      </c>
      <c r="T17" s="4"/>
      <c r="U17" s="4"/>
    </row>
    <row r="18" spans="1:21" x14ac:dyDescent="0.2">
      <c r="A18" s="48" t="s">
        <v>252</v>
      </c>
      <c r="B18" s="48"/>
      <c r="C18" s="52">
        <f>$C$26-TIME(1,0,0)</f>
        <v>0.39583333333333331</v>
      </c>
      <c r="D18" s="52">
        <f t="shared" si="0"/>
        <v>2.083333333333337E-2</v>
      </c>
      <c r="E18" s="52">
        <v>0.41666666666666669</v>
      </c>
      <c r="F18" s="18" t="s">
        <v>52</v>
      </c>
      <c r="G18" s="18" t="s">
        <v>271</v>
      </c>
      <c r="H18" s="18"/>
      <c r="I18" s="18" t="s">
        <v>254</v>
      </c>
      <c r="J18" s="37"/>
      <c r="K18" s="37"/>
      <c r="L18" s="105"/>
      <c r="M18" s="105"/>
      <c r="N18" s="38" t="s">
        <v>255</v>
      </c>
      <c r="O18" s="38"/>
      <c r="P18" s="38"/>
      <c r="Q18" s="38"/>
      <c r="R18" s="38"/>
      <c r="T18" s="4"/>
      <c r="U18" s="4"/>
    </row>
    <row r="19" spans="1:21" x14ac:dyDescent="0.2">
      <c r="A19" s="48" t="s">
        <v>252</v>
      </c>
      <c r="B19" s="48"/>
      <c r="C19" s="52">
        <v>0.39583333333333331</v>
      </c>
      <c r="D19" s="52"/>
      <c r="E19" s="52"/>
      <c r="F19" s="62" t="s">
        <v>273</v>
      </c>
      <c r="G19" s="18" t="s">
        <v>266</v>
      </c>
      <c r="H19" s="18"/>
      <c r="I19" s="18" t="s">
        <v>254</v>
      </c>
      <c r="J19" s="37"/>
      <c r="K19" s="37"/>
      <c r="L19" s="105"/>
      <c r="M19" s="105"/>
      <c r="N19" s="38" t="s">
        <v>255</v>
      </c>
      <c r="O19" s="38" t="s">
        <v>256</v>
      </c>
      <c r="P19" s="38"/>
      <c r="Q19" s="38" t="s">
        <v>256</v>
      </c>
      <c r="R19" s="38" t="s">
        <v>256</v>
      </c>
      <c r="T19" s="4"/>
      <c r="U19" s="4"/>
    </row>
    <row r="20" spans="1:21" x14ac:dyDescent="0.2">
      <c r="A20" s="48" t="s">
        <v>252</v>
      </c>
      <c r="B20" s="48"/>
      <c r="C20" s="52">
        <f>$C$26-TIME(0,15,0)</f>
        <v>0.42708333333333331</v>
      </c>
      <c r="D20" s="52"/>
      <c r="E20" s="52"/>
      <c r="F20" s="18" t="s">
        <v>274</v>
      </c>
      <c r="G20" s="18" t="s">
        <v>269</v>
      </c>
      <c r="H20" s="18"/>
      <c r="I20" s="18" t="s">
        <v>254</v>
      </c>
      <c r="J20" s="37"/>
      <c r="K20" s="37"/>
      <c r="L20" s="105"/>
      <c r="M20" s="105"/>
      <c r="N20" s="38" t="s">
        <v>255</v>
      </c>
      <c r="O20" s="38" t="s">
        <v>256</v>
      </c>
      <c r="P20" s="38"/>
      <c r="Q20" s="38" t="s">
        <v>256</v>
      </c>
      <c r="R20" s="38" t="s">
        <v>256</v>
      </c>
      <c r="T20" s="4"/>
      <c r="U20" s="4"/>
    </row>
    <row r="21" spans="1:21" x14ac:dyDescent="0.2">
      <c r="A21" s="48" t="s">
        <v>252</v>
      </c>
      <c r="B21" s="48"/>
      <c r="C21" s="52">
        <f>$C$26-TIME(0,15,0)</f>
        <v>0.42708333333333331</v>
      </c>
      <c r="D21" s="52">
        <f>E21-C21</f>
        <v>0.10797453703703846</v>
      </c>
      <c r="E21" s="52">
        <f>C67</f>
        <v>0.53505787037037178</v>
      </c>
      <c r="F21" s="18" t="s">
        <v>56</v>
      </c>
      <c r="G21" s="18" t="s">
        <v>269</v>
      </c>
      <c r="H21" s="18"/>
      <c r="I21" s="18" t="s">
        <v>254</v>
      </c>
      <c r="J21" s="37"/>
      <c r="K21" s="37"/>
      <c r="L21" s="105"/>
      <c r="M21" s="105"/>
      <c r="N21" s="38" t="s">
        <v>255</v>
      </c>
      <c r="O21" s="38" t="s">
        <v>256</v>
      </c>
      <c r="P21" s="38"/>
      <c r="Q21" s="38" t="s">
        <v>256</v>
      </c>
      <c r="R21" s="38" t="s">
        <v>256</v>
      </c>
      <c r="T21" s="4"/>
      <c r="U21" s="4"/>
    </row>
    <row r="22" spans="1:21" x14ac:dyDescent="0.2">
      <c r="A22" s="48" t="s">
        <v>252</v>
      </c>
      <c r="B22" s="48"/>
      <c r="C22" s="52">
        <f>$C$26-TIME(0,5,0)</f>
        <v>0.43402777777777779</v>
      </c>
      <c r="D22" s="52">
        <f t="shared" ref="D22" si="1">E22-C22</f>
        <v>2.4305555555555469E-3</v>
      </c>
      <c r="E22" s="52">
        <f>$C$26-TIME(0,1,30)</f>
        <v>0.43645833333333334</v>
      </c>
      <c r="F22" s="18" t="s">
        <v>275</v>
      </c>
      <c r="G22" s="18" t="s">
        <v>269</v>
      </c>
      <c r="H22" s="18"/>
      <c r="I22" s="18" t="s">
        <v>254</v>
      </c>
      <c r="J22" s="18" t="s">
        <v>276</v>
      </c>
      <c r="K22" s="37"/>
      <c r="L22" s="105"/>
      <c r="M22" s="105"/>
      <c r="N22" s="38" t="s">
        <v>255</v>
      </c>
      <c r="O22" s="38" t="s">
        <v>256</v>
      </c>
      <c r="P22" s="38" t="s">
        <v>256</v>
      </c>
      <c r="Q22" s="38" t="s">
        <v>256</v>
      </c>
      <c r="R22" s="38" t="s">
        <v>256</v>
      </c>
      <c r="T22" s="4"/>
      <c r="U22" s="4"/>
    </row>
    <row r="23" spans="1:21" x14ac:dyDescent="0.2">
      <c r="A23" s="48" t="s">
        <v>252</v>
      </c>
      <c r="B23" s="48"/>
      <c r="C23" s="52">
        <f>$C$26-TIME(0,1,30)</f>
        <v>0.43645833333333334</v>
      </c>
      <c r="D23" s="52">
        <f>E23-C23</f>
        <v>3.4722222222222099E-4</v>
      </c>
      <c r="E23" s="52">
        <f>$C$26-TIME(0,1,0)</f>
        <v>0.43680555555555556</v>
      </c>
      <c r="F23" s="18" t="s">
        <v>277</v>
      </c>
      <c r="G23" s="18" t="s">
        <v>269</v>
      </c>
      <c r="H23" s="18"/>
      <c r="I23" s="18" t="s">
        <v>254</v>
      </c>
      <c r="J23" s="18" t="s">
        <v>276</v>
      </c>
      <c r="K23" s="37"/>
      <c r="L23" s="105"/>
      <c r="M23" s="105"/>
      <c r="N23" s="38" t="s">
        <v>255</v>
      </c>
      <c r="O23" s="38" t="s">
        <v>256</v>
      </c>
      <c r="P23" s="38" t="s">
        <v>256</v>
      </c>
      <c r="Q23" s="38" t="s">
        <v>256</v>
      </c>
      <c r="R23" s="38"/>
      <c r="T23" s="4"/>
      <c r="U23" s="4"/>
    </row>
    <row r="24" spans="1:21" x14ac:dyDescent="0.2">
      <c r="A24" s="48"/>
      <c r="B24" s="48"/>
      <c r="C24" s="52">
        <f>$C$26-TIME(0,1,0)</f>
        <v>0.43680555555555556</v>
      </c>
      <c r="D24" s="52">
        <f>E24-C24</f>
        <v>6.9444444444444198E-4</v>
      </c>
      <c r="E24" s="52">
        <f>$C$26-TIME(0,0,0)</f>
        <v>0.4375</v>
      </c>
      <c r="F24" s="18" t="s">
        <v>278</v>
      </c>
      <c r="G24" s="18"/>
      <c r="H24" s="18"/>
      <c r="I24" s="18" t="s">
        <v>254</v>
      </c>
      <c r="J24" s="18"/>
      <c r="K24" s="37"/>
      <c r="L24" s="105"/>
      <c r="M24" s="105"/>
      <c r="N24" s="38" t="s">
        <v>255</v>
      </c>
      <c r="O24" s="38"/>
      <c r="P24" s="38"/>
      <c r="Q24" s="38" t="s">
        <v>256</v>
      </c>
      <c r="R24" s="38"/>
      <c r="T24" s="4"/>
      <c r="U24" s="4"/>
    </row>
    <row r="25" spans="1:21" x14ac:dyDescent="0.2">
      <c r="A25" s="41"/>
      <c r="B25" s="41"/>
      <c r="C25" s="65">
        <v>0.4375</v>
      </c>
      <c r="D25" s="41"/>
      <c r="E25" s="53"/>
      <c r="F25" s="31" t="s">
        <v>57</v>
      </c>
      <c r="G25" s="40"/>
      <c r="H25" s="40"/>
      <c r="I25" s="40" t="s">
        <v>254</v>
      </c>
      <c r="J25" s="40" t="s">
        <v>276</v>
      </c>
      <c r="K25" s="40"/>
      <c r="L25" s="103">
        <f t="shared" ref="L25:L68" si="2">C25</f>
        <v>0.4375</v>
      </c>
      <c r="M25" s="103"/>
      <c r="N25" s="41"/>
      <c r="O25" s="41" t="s">
        <v>256</v>
      </c>
      <c r="P25" s="41" t="s">
        <v>256</v>
      </c>
      <c r="Q25" s="41" t="s">
        <v>256</v>
      </c>
      <c r="R25" s="41" t="s">
        <v>256</v>
      </c>
      <c r="T25" s="4"/>
      <c r="U25" s="4"/>
    </row>
    <row r="26" spans="1:21" x14ac:dyDescent="0.2">
      <c r="A26" s="43"/>
      <c r="B26" s="43"/>
      <c r="C26" s="57">
        <v>0.4375</v>
      </c>
      <c r="D26" s="43"/>
      <c r="E26" s="54"/>
      <c r="F26" s="32" t="s">
        <v>60</v>
      </c>
      <c r="G26" s="42"/>
      <c r="H26" s="42"/>
      <c r="I26" s="42" t="s">
        <v>254</v>
      </c>
      <c r="J26" s="42" t="s">
        <v>276</v>
      </c>
      <c r="K26" s="42"/>
      <c r="L26" s="104">
        <f t="shared" si="2"/>
        <v>0.4375</v>
      </c>
      <c r="M26" s="104"/>
      <c r="N26" s="43" t="s">
        <v>255</v>
      </c>
      <c r="O26" s="43" t="s">
        <v>256</v>
      </c>
      <c r="P26" s="43" t="s">
        <v>256</v>
      </c>
      <c r="Q26" s="43" t="s">
        <v>256</v>
      </c>
      <c r="R26" s="43" t="s">
        <v>256</v>
      </c>
      <c r="T26" s="4"/>
      <c r="U26" s="4"/>
    </row>
    <row r="27" spans="1:21" x14ac:dyDescent="0.2">
      <c r="A27" s="48" t="s">
        <v>279</v>
      </c>
      <c r="B27" s="52">
        <f t="shared" ref="B27:B66" si="3">C27-$C$26</f>
        <v>0</v>
      </c>
      <c r="C27" s="52">
        <f>'[1]Day 1-H'!$D$10</f>
        <v>0.4375</v>
      </c>
      <c r="D27" s="50">
        <f t="shared" ref="D27:D71" si="4">E27-C27</f>
        <v>4.0509259259259855E-3</v>
      </c>
      <c r="E27" s="52">
        <f>C28</f>
        <v>0.44155092592592599</v>
      </c>
      <c r="F27" s="47" t="s">
        <v>280</v>
      </c>
      <c r="G27" s="18" t="s">
        <v>269</v>
      </c>
      <c r="H27" s="18"/>
      <c r="I27" s="18" t="s">
        <v>254</v>
      </c>
      <c r="J27" s="18" t="s">
        <v>276</v>
      </c>
      <c r="K27" s="44" t="s">
        <v>281</v>
      </c>
      <c r="L27" s="105">
        <f t="shared" si="2"/>
        <v>0.4375</v>
      </c>
      <c r="M27" s="105">
        <f t="shared" ref="M27:M66" si="5">E27</f>
        <v>0.44155092592592599</v>
      </c>
      <c r="N27" s="38"/>
      <c r="O27" s="38" t="s">
        <v>256</v>
      </c>
      <c r="P27" s="38" t="s">
        <v>256</v>
      </c>
      <c r="Q27" s="38" t="s">
        <v>256</v>
      </c>
      <c r="R27" s="38"/>
      <c r="T27" s="4"/>
      <c r="U27" s="4"/>
    </row>
    <row r="28" spans="1:21" x14ac:dyDescent="0.2">
      <c r="A28" s="48" t="s">
        <v>279</v>
      </c>
      <c r="B28" s="52">
        <f t="shared" si="3"/>
        <v>4.0509259259259855E-3</v>
      </c>
      <c r="C28" s="52">
        <f>'[1]Day 1-H'!$D$13</f>
        <v>0.44155092592592599</v>
      </c>
      <c r="D28" s="50">
        <f t="shared" si="4"/>
        <v>3.6689814814815369E-3</v>
      </c>
      <c r="E28" s="52">
        <f t="shared" ref="E28:E66" si="6">C29</f>
        <v>0.44521990740740752</v>
      </c>
      <c r="F28" s="47" t="s">
        <v>282</v>
      </c>
      <c r="G28" s="18" t="s">
        <v>269</v>
      </c>
      <c r="H28" s="18"/>
      <c r="I28" s="18" t="s">
        <v>254</v>
      </c>
      <c r="J28" s="18" t="s">
        <v>276</v>
      </c>
      <c r="K28" s="44" t="s">
        <v>283</v>
      </c>
      <c r="L28" s="105">
        <f t="shared" si="2"/>
        <v>0.44155092592592599</v>
      </c>
      <c r="M28" s="105">
        <f t="shared" si="5"/>
        <v>0.44521990740740752</v>
      </c>
      <c r="N28" s="38"/>
      <c r="O28" s="38" t="s">
        <v>256</v>
      </c>
      <c r="P28" s="38" t="s">
        <v>256</v>
      </c>
      <c r="Q28" s="38" t="s">
        <v>256</v>
      </c>
      <c r="R28" s="38"/>
      <c r="T28" s="4"/>
      <c r="U28" s="4"/>
    </row>
    <row r="29" spans="1:21" x14ac:dyDescent="0.2">
      <c r="A29" s="48" t="s">
        <v>279</v>
      </c>
      <c r="B29" s="52">
        <f t="shared" si="3"/>
        <v>7.7199074074075225E-3</v>
      </c>
      <c r="C29" s="52">
        <f>'[1]Day 1-H'!$D$16</f>
        <v>0.44521990740740752</v>
      </c>
      <c r="D29" s="50">
        <f t="shared" si="4"/>
        <v>4.1550925925926685E-3</v>
      </c>
      <c r="E29" s="52">
        <f t="shared" si="6"/>
        <v>0.44937500000000019</v>
      </c>
      <c r="F29" s="47" t="s">
        <v>284</v>
      </c>
      <c r="G29" s="18" t="s">
        <v>269</v>
      </c>
      <c r="H29" s="18"/>
      <c r="I29" s="18" t="s">
        <v>254</v>
      </c>
      <c r="J29" s="18" t="s">
        <v>276</v>
      </c>
      <c r="K29" s="44" t="s">
        <v>285</v>
      </c>
      <c r="L29" s="105">
        <f t="shared" si="2"/>
        <v>0.44521990740740752</v>
      </c>
      <c r="M29" s="105">
        <f t="shared" si="5"/>
        <v>0.44937500000000019</v>
      </c>
      <c r="N29" s="38"/>
      <c r="O29" s="38" t="s">
        <v>256</v>
      </c>
      <c r="P29" s="38" t="s">
        <v>256</v>
      </c>
      <c r="Q29" s="38" t="s">
        <v>256</v>
      </c>
      <c r="R29" s="38"/>
      <c r="T29" s="4"/>
      <c r="U29" s="4"/>
    </row>
    <row r="30" spans="1:21" x14ac:dyDescent="0.2">
      <c r="A30" s="48" t="s">
        <v>279</v>
      </c>
      <c r="B30" s="52">
        <f t="shared" si="3"/>
        <v>1.1875000000000191E-2</v>
      </c>
      <c r="C30" s="52">
        <f>'[1]Day 1-H'!$D$20</f>
        <v>0.44937500000000019</v>
      </c>
      <c r="D30" s="50">
        <f t="shared" si="4"/>
        <v>5.1620370370370483E-3</v>
      </c>
      <c r="E30" s="52">
        <f t="shared" si="6"/>
        <v>0.45453703703703724</v>
      </c>
      <c r="F30" s="47" t="s">
        <v>286</v>
      </c>
      <c r="G30" s="18" t="s">
        <v>269</v>
      </c>
      <c r="H30" s="18"/>
      <c r="I30" s="18" t="s">
        <v>254</v>
      </c>
      <c r="J30" s="18" t="s">
        <v>276</v>
      </c>
      <c r="K30" s="44" t="s">
        <v>287</v>
      </c>
      <c r="L30" s="105">
        <f t="shared" si="2"/>
        <v>0.44937500000000019</v>
      </c>
      <c r="M30" s="105">
        <f t="shared" si="5"/>
        <v>0.45453703703703724</v>
      </c>
      <c r="N30" s="38"/>
      <c r="O30" s="38" t="s">
        <v>256</v>
      </c>
      <c r="P30" s="38" t="s">
        <v>256</v>
      </c>
      <c r="Q30" s="38" t="s">
        <v>256</v>
      </c>
      <c r="R30" s="38"/>
      <c r="T30" s="4"/>
      <c r="U30" s="4"/>
    </row>
    <row r="31" spans="1:21" x14ac:dyDescent="0.2">
      <c r="A31" s="48" t="s">
        <v>279</v>
      </c>
      <c r="B31" s="52">
        <f t="shared" si="3"/>
        <v>1.7037037037037239E-2</v>
      </c>
      <c r="C31" s="52">
        <f>'[1]Day 1-H'!$D$23</f>
        <v>0.45453703703703724</v>
      </c>
      <c r="D31" s="50">
        <f t="shared" si="4"/>
        <v>4.6643518518518778E-3</v>
      </c>
      <c r="E31" s="52">
        <f t="shared" si="6"/>
        <v>0.45920138888888912</v>
      </c>
      <c r="F31" s="47" t="s">
        <v>288</v>
      </c>
      <c r="G31" s="18" t="s">
        <v>269</v>
      </c>
      <c r="H31" s="18"/>
      <c r="I31" s="18" t="s">
        <v>254</v>
      </c>
      <c r="J31" s="18" t="s">
        <v>276</v>
      </c>
      <c r="K31" s="44" t="s">
        <v>289</v>
      </c>
      <c r="L31" s="105">
        <f t="shared" si="2"/>
        <v>0.45453703703703724</v>
      </c>
      <c r="M31" s="105">
        <f t="shared" si="5"/>
        <v>0.45920138888888912</v>
      </c>
      <c r="N31" s="38"/>
      <c r="O31" s="38" t="s">
        <v>256</v>
      </c>
      <c r="P31" s="38" t="s">
        <v>256</v>
      </c>
      <c r="Q31" s="38" t="s">
        <v>256</v>
      </c>
      <c r="R31" s="38"/>
      <c r="T31" s="4"/>
      <c r="U31" s="4"/>
    </row>
    <row r="32" spans="1:21" x14ac:dyDescent="0.2">
      <c r="A32" s="48" t="s">
        <v>279</v>
      </c>
      <c r="B32" s="52">
        <f t="shared" si="3"/>
        <v>2.1701388888889117E-2</v>
      </c>
      <c r="C32" s="52">
        <f>'[1]Day 1-H'!$D$27</f>
        <v>0.45920138888888912</v>
      </c>
      <c r="D32" s="50">
        <f t="shared" si="4"/>
        <v>3.3333333333333548E-3</v>
      </c>
      <c r="E32" s="52">
        <f t="shared" si="6"/>
        <v>0.46253472222222247</v>
      </c>
      <c r="F32" s="47" t="s">
        <v>290</v>
      </c>
      <c r="G32" s="18" t="s">
        <v>269</v>
      </c>
      <c r="H32" s="18"/>
      <c r="I32" s="18" t="s">
        <v>254</v>
      </c>
      <c r="J32" s="18" t="s">
        <v>276</v>
      </c>
      <c r="K32" s="44" t="s">
        <v>291</v>
      </c>
      <c r="L32" s="105">
        <f t="shared" si="2"/>
        <v>0.45920138888888912</v>
      </c>
      <c r="M32" s="105">
        <f t="shared" si="5"/>
        <v>0.46253472222222247</v>
      </c>
      <c r="N32" s="38"/>
      <c r="O32" s="38" t="s">
        <v>256</v>
      </c>
      <c r="P32" s="38" t="s">
        <v>256</v>
      </c>
      <c r="Q32" s="38" t="s">
        <v>256</v>
      </c>
      <c r="R32" s="38"/>
      <c r="T32" s="4"/>
      <c r="U32" s="4"/>
    </row>
    <row r="33" spans="1:21" x14ac:dyDescent="0.2">
      <c r="A33" s="48" t="s">
        <v>279</v>
      </c>
      <c r="B33" s="52">
        <f t="shared" si="3"/>
        <v>2.5034722222222472E-2</v>
      </c>
      <c r="C33" s="52">
        <f>'[1]Day 1-H'!$D$30</f>
        <v>0.46253472222222247</v>
      </c>
      <c r="D33" s="50">
        <f t="shared" si="4"/>
        <v>2.5000000000000577E-3</v>
      </c>
      <c r="E33" s="52">
        <f t="shared" si="6"/>
        <v>0.46503472222222253</v>
      </c>
      <c r="F33" s="47" t="s">
        <v>292</v>
      </c>
      <c r="G33" s="18" t="s">
        <v>269</v>
      </c>
      <c r="H33" s="18"/>
      <c r="I33" s="18" t="s">
        <v>254</v>
      </c>
      <c r="J33" s="18" t="s">
        <v>276</v>
      </c>
      <c r="K33" s="44" t="s">
        <v>293</v>
      </c>
      <c r="L33" s="105">
        <f t="shared" si="2"/>
        <v>0.46253472222222247</v>
      </c>
      <c r="M33" s="105">
        <f t="shared" si="5"/>
        <v>0.46503472222222253</v>
      </c>
      <c r="N33" s="38"/>
      <c r="O33" s="38" t="s">
        <v>256</v>
      </c>
      <c r="P33" s="38" t="s">
        <v>256</v>
      </c>
      <c r="Q33" s="38" t="s">
        <v>256</v>
      </c>
      <c r="R33" s="38"/>
      <c r="T33" s="4"/>
      <c r="U33" s="4"/>
    </row>
    <row r="34" spans="1:21" x14ac:dyDescent="0.2">
      <c r="A34" s="48" t="s">
        <v>279</v>
      </c>
      <c r="B34" s="52">
        <f t="shared" si="3"/>
        <v>2.753472222222253E-2</v>
      </c>
      <c r="C34" s="52">
        <f>'[1]Day 1-H'!$D$33</f>
        <v>0.46503472222222253</v>
      </c>
      <c r="D34" s="50">
        <f t="shared" si="4"/>
        <v>2.5000000000000577E-3</v>
      </c>
      <c r="E34" s="52">
        <f t="shared" si="6"/>
        <v>0.46753472222222259</v>
      </c>
      <c r="F34" s="47" t="s">
        <v>294</v>
      </c>
      <c r="G34" s="18" t="s">
        <v>269</v>
      </c>
      <c r="H34" s="18"/>
      <c r="I34" s="18" t="s">
        <v>254</v>
      </c>
      <c r="J34" s="18" t="s">
        <v>276</v>
      </c>
      <c r="K34" s="44" t="s">
        <v>295</v>
      </c>
      <c r="L34" s="105">
        <f t="shared" si="2"/>
        <v>0.46503472222222253</v>
      </c>
      <c r="M34" s="105">
        <f t="shared" si="5"/>
        <v>0.46753472222222259</v>
      </c>
      <c r="N34" s="38"/>
      <c r="O34" s="38" t="s">
        <v>256</v>
      </c>
      <c r="P34" s="38" t="s">
        <v>256</v>
      </c>
      <c r="Q34" s="38" t="s">
        <v>256</v>
      </c>
      <c r="R34" s="38"/>
      <c r="T34" s="4"/>
      <c r="U34" s="4"/>
    </row>
    <row r="35" spans="1:21" x14ac:dyDescent="0.2">
      <c r="A35" s="48" t="s">
        <v>279</v>
      </c>
      <c r="B35" s="52">
        <f t="shared" si="3"/>
        <v>3.0034722222222587E-2</v>
      </c>
      <c r="C35" s="52">
        <f>'[1]Day 1-H'!$D$36</f>
        <v>0.46753472222222259</v>
      </c>
      <c r="D35" s="50">
        <f t="shared" si="4"/>
        <v>2.9398148148148673E-3</v>
      </c>
      <c r="E35" s="52">
        <f t="shared" si="6"/>
        <v>0.47047453703703745</v>
      </c>
      <c r="F35" s="47" t="s">
        <v>296</v>
      </c>
      <c r="G35" s="18" t="s">
        <v>269</v>
      </c>
      <c r="H35" s="18"/>
      <c r="I35" s="18" t="s">
        <v>254</v>
      </c>
      <c r="J35" s="18" t="s">
        <v>276</v>
      </c>
      <c r="K35" s="44" t="s">
        <v>1088</v>
      </c>
      <c r="L35" s="105">
        <f t="shared" si="2"/>
        <v>0.46753472222222259</v>
      </c>
      <c r="M35" s="105">
        <f t="shared" si="5"/>
        <v>0.47047453703703745</v>
      </c>
      <c r="N35" s="38"/>
      <c r="O35" s="38" t="s">
        <v>256</v>
      </c>
      <c r="P35" s="38" t="s">
        <v>256</v>
      </c>
      <c r="Q35" s="38" t="s">
        <v>256</v>
      </c>
      <c r="R35" s="38"/>
      <c r="T35" s="4"/>
      <c r="U35" s="4"/>
    </row>
    <row r="36" spans="1:21" x14ac:dyDescent="0.2">
      <c r="A36" s="48" t="s">
        <v>279</v>
      </c>
      <c r="B36" s="52">
        <f t="shared" si="3"/>
        <v>3.2974537037037455E-2</v>
      </c>
      <c r="C36" s="52">
        <f>'[1]Day 1-H'!$D$44</f>
        <v>0.47047453703703745</v>
      </c>
      <c r="D36" s="50">
        <f t="shared" si="4"/>
        <v>2.3032407407407862E-3</v>
      </c>
      <c r="E36" s="52">
        <f t="shared" si="6"/>
        <v>0.47277777777777824</v>
      </c>
      <c r="F36" s="47" t="s">
        <v>297</v>
      </c>
      <c r="G36" s="18" t="s">
        <v>269</v>
      </c>
      <c r="H36" s="18"/>
      <c r="I36" s="18" t="s">
        <v>254</v>
      </c>
      <c r="J36" s="18" t="s">
        <v>276</v>
      </c>
      <c r="K36" s="44" t="s">
        <v>298</v>
      </c>
      <c r="L36" s="105">
        <f t="shared" si="2"/>
        <v>0.47047453703703745</v>
      </c>
      <c r="M36" s="105">
        <f t="shared" si="5"/>
        <v>0.47277777777777824</v>
      </c>
      <c r="N36" s="38"/>
      <c r="O36" s="38" t="s">
        <v>256</v>
      </c>
      <c r="P36" s="38" t="s">
        <v>256</v>
      </c>
      <c r="Q36" s="38" t="s">
        <v>256</v>
      </c>
      <c r="R36" s="38"/>
      <c r="T36" s="4"/>
      <c r="U36" s="4"/>
    </row>
    <row r="37" spans="1:21" x14ac:dyDescent="0.2">
      <c r="A37" s="48" t="s">
        <v>279</v>
      </c>
      <c r="B37" s="52">
        <f t="shared" ref="B37" si="7">C37-$C$26</f>
        <v>3.5277777777778241E-2</v>
      </c>
      <c r="C37" s="52">
        <f>'[1]Day 1-H'!$D$47</f>
        <v>0.47277777777777824</v>
      </c>
      <c r="D37" s="50">
        <f t="shared" si="4"/>
        <v>2.3032407407407862E-3</v>
      </c>
      <c r="E37" s="52">
        <f t="shared" si="6"/>
        <v>0.47508101851851903</v>
      </c>
      <c r="F37" s="47" t="s">
        <v>299</v>
      </c>
      <c r="G37" s="18" t="s">
        <v>269</v>
      </c>
      <c r="H37" s="18"/>
      <c r="I37" s="18" t="s">
        <v>254</v>
      </c>
      <c r="J37" s="18" t="s">
        <v>276</v>
      </c>
      <c r="K37" s="44" t="s">
        <v>300</v>
      </c>
      <c r="L37" s="105">
        <f t="shared" ref="L37" si="8">C37</f>
        <v>0.47277777777777824</v>
      </c>
      <c r="M37" s="105">
        <f t="shared" ref="M37" si="9">E37</f>
        <v>0.47508101851851903</v>
      </c>
      <c r="N37" s="38"/>
      <c r="O37" s="38" t="s">
        <v>256</v>
      </c>
      <c r="P37" s="38" t="s">
        <v>256</v>
      </c>
      <c r="Q37" s="38" t="s">
        <v>256</v>
      </c>
      <c r="R37" s="38"/>
      <c r="T37" s="4"/>
      <c r="U37" s="4"/>
    </row>
    <row r="38" spans="1:21" x14ac:dyDescent="0.2">
      <c r="A38" s="48" t="s">
        <v>279</v>
      </c>
      <c r="B38" s="52">
        <f t="shared" si="3"/>
        <v>3.7581018518519027E-2</v>
      </c>
      <c r="C38" s="52">
        <f>'[1]Day 1-H'!$D$51</f>
        <v>0.47508101851851903</v>
      </c>
      <c r="D38" s="50">
        <f t="shared" si="4"/>
        <v>1.8055555555555602E-3</v>
      </c>
      <c r="E38" s="52">
        <f t="shared" si="6"/>
        <v>0.47688657407407459</v>
      </c>
      <c r="F38" s="47" t="s">
        <v>301</v>
      </c>
      <c r="G38" s="18" t="s">
        <v>269</v>
      </c>
      <c r="H38" s="18"/>
      <c r="I38" s="18" t="s">
        <v>254</v>
      </c>
      <c r="J38" s="18" t="s">
        <v>276</v>
      </c>
      <c r="K38" s="44" t="s">
        <v>302</v>
      </c>
      <c r="L38" s="105">
        <f t="shared" si="2"/>
        <v>0.47508101851851903</v>
      </c>
      <c r="M38" s="105">
        <f t="shared" si="5"/>
        <v>0.47688657407407459</v>
      </c>
      <c r="N38" s="38"/>
      <c r="O38" s="38" t="s">
        <v>256</v>
      </c>
      <c r="P38" s="38" t="s">
        <v>256</v>
      </c>
      <c r="Q38" s="38" t="s">
        <v>256</v>
      </c>
      <c r="R38" s="38"/>
      <c r="T38" s="4"/>
      <c r="U38" s="4"/>
    </row>
    <row r="39" spans="1:21" x14ac:dyDescent="0.2">
      <c r="A39" s="48" t="s">
        <v>279</v>
      </c>
      <c r="B39" s="52">
        <f t="shared" si="3"/>
        <v>3.9386574074074587E-2</v>
      </c>
      <c r="C39" s="52">
        <f>'[1]Day 1-H'!$D$54</f>
        <v>0.47688657407407459</v>
      </c>
      <c r="D39" s="50">
        <f t="shared" si="4"/>
        <v>1.2500000000000289E-3</v>
      </c>
      <c r="E39" s="52">
        <f t="shared" si="6"/>
        <v>0.47813657407407462</v>
      </c>
      <c r="F39" s="47" t="s">
        <v>303</v>
      </c>
      <c r="G39" s="18" t="s">
        <v>269</v>
      </c>
      <c r="H39" s="18"/>
      <c r="I39" s="18" t="s">
        <v>254</v>
      </c>
      <c r="J39" s="18" t="s">
        <v>276</v>
      </c>
      <c r="K39" s="44" t="s">
        <v>304</v>
      </c>
      <c r="L39" s="105">
        <f t="shared" si="2"/>
        <v>0.47688657407407459</v>
      </c>
      <c r="M39" s="105">
        <f t="shared" si="5"/>
        <v>0.47813657407407462</v>
      </c>
      <c r="N39" s="38"/>
      <c r="O39" s="38" t="s">
        <v>256</v>
      </c>
      <c r="P39" s="38" t="s">
        <v>256</v>
      </c>
      <c r="Q39" s="38" t="s">
        <v>256</v>
      </c>
      <c r="R39" s="38"/>
      <c r="T39" s="4"/>
      <c r="U39" s="4"/>
    </row>
    <row r="40" spans="1:21" x14ac:dyDescent="0.2">
      <c r="A40" s="48" t="s">
        <v>279</v>
      </c>
      <c r="B40" s="52">
        <f t="shared" si="3"/>
        <v>4.0636574074074616E-2</v>
      </c>
      <c r="C40" s="52">
        <f>'[1]Day 1-H'!$D$57</f>
        <v>0.47813657407407462</v>
      </c>
      <c r="D40" s="50">
        <f t="shared" si="4"/>
        <v>1.23842592592599E-3</v>
      </c>
      <c r="E40" s="52">
        <f t="shared" si="6"/>
        <v>0.47937500000000061</v>
      </c>
      <c r="F40" s="47" t="s">
        <v>305</v>
      </c>
      <c r="G40" s="18" t="s">
        <v>269</v>
      </c>
      <c r="H40" s="18"/>
      <c r="I40" s="18" t="s">
        <v>254</v>
      </c>
      <c r="J40" s="18" t="s">
        <v>276</v>
      </c>
      <c r="K40" s="44" t="s">
        <v>306</v>
      </c>
      <c r="L40" s="105">
        <f t="shared" si="2"/>
        <v>0.47813657407407462</v>
      </c>
      <c r="M40" s="105">
        <f t="shared" si="5"/>
        <v>0.47937500000000061</v>
      </c>
      <c r="N40" s="38"/>
      <c r="O40" s="38" t="s">
        <v>256</v>
      </c>
      <c r="P40" s="38" t="s">
        <v>256</v>
      </c>
      <c r="Q40" s="38" t="s">
        <v>256</v>
      </c>
      <c r="R40" s="38"/>
      <c r="T40" s="4"/>
      <c r="U40" s="4"/>
    </row>
    <row r="41" spans="1:21" x14ac:dyDescent="0.2">
      <c r="A41" s="48" t="s">
        <v>279</v>
      </c>
      <c r="B41" s="52">
        <f t="shared" si="3"/>
        <v>4.1875000000000606E-2</v>
      </c>
      <c r="C41" s="52">
        <f>'[1]Day 1-H'!$D$60</f>
        <v>0.47937500000000061</v>
      </c>
      <c r="D41" s="50">
        <f t="shared" si="4"/>
        <v>1.2268518518518956E-3</v>
      </c>
      <c r="E41" s="52">
        <f t="shared" si="6"/>
        <v>0.4806018518518525</v>
      </c>
      <c r="F41" s="47" t="s">
        <v>307</v>
      </c>
      <c r="G41" s="18" t="s">
        <v>269</v>
      </c>
      <c r="H41" s="18"/>
      <c r="I41" s="18" t="s">
        <v>254</v>
      </c>
      <c r="J41" s="18" t="s">
        <v>276</v>
      </c>
      <c r="K41" s="44" t="s">
        <v>308</v>
      </c>
      <c r="L41" s="105">
        <f t="shared" si="2"/>
        <v>0.47937500000000061</v>
      </c>
      <c r="M41" s="105">
        <f t="shared" si="5"/>
        <v>0.4806018518518525</v>
      </c>
      <c r="N41" s="38"/>
      <c r="O41" s="38" t="s">
        <v>256</v>
      </c>
      <c r="P41" s="38" t="s">
        <v>256</v>
      </c>
      <c r="Q41" s="38" t="s">
        <v>256</v>
      </c>
      <c r="R41" s="38"/>
      <c r="T41" s="4"/>
      <c r="U41" s="4"/>
    </row>
    <row r="42" spans="1:21" x14ac:dyDescent="0.2">
      <c r="A42" s="48" t="s">
        <v>279</v>
      </c>
      <c r="B42" s="52">
        <f t="shared" si="3"/>
        <v>4.3101851851852502E-2</v>
      </c>
      <c r="C42" s="52">
        <f>'[1]Day 1-H'!$D$63</f>
        <v>0.4806018518518525</v>
      </c>
      <c r="D42" s="50">
        <f t="shared" si="4"/>
        <v>1.2152777777778567E-3</v>
      </c>
      <c r="E42" s="52">
        <f t="shared" si="6"/>
        <v>0.48181712962963036</v>
      </c>
      <c r="F42" s="47" t="s">
        <v>309</v>
      </c>
      <c r="G42" s="18" t="s">
        <v>269</v>
      </c>
      <c r="H42" s="18"/>
      <c r="I42" s="18" t="s">
        <v>254</v>
      </c>
      <c r="J42" s="18" t="s">
        <v>276</v>
      </c>
      <c r="K42" s="44" t="s">
        <v>310</v>
      </c>
      <c r="L42" s="105">
        <f t="shared" si="2"/>
        <v>0.4806018518518525</v>
      </c>
      <c r="M42" s="105">
        <f t="shared" si="5"/>
        <v>0.48181712962963036</v>
      </c>
      <c r="N42" s="38"/>
      <c r="O42" s="38" t="s">
        <v>256</v>
      </c>
      <c r="P42" s="38" t="s">
        <v>256</v>
      </c>
      <c r="Q42" s="38" t="s">
        <v>256</v>
      </c>
      <c r="R42" s="38"/>
      <c r="T42" s="4"/>
      <c r="U42" s="4"/>
    </row>
    <row r="43" spans="1:21" x14ac:dyDescent="0.2">
      <c r="A43" s="48" t="s">
        <v>279</v>
      </c>
      <c r="B43" s="52">
        <f t="shared" si="3"/>
        <v>4.4317129629630359E-2</v>
      </c>
      <c r="C43" s="52">
        <f>'[1]Day 1-H'!$D$66</f>
        <v>0.48181712962963036</v>
      </c>
      <c r="D43" s="50">
        <f t="shared" ref="D43" si="10">E43-C43</f>
        <v>1.2152777777778567E-3</v>
      </c>
      <c r="E43" s="52">
        <f t="shared" ref="E43" si="11">C44</f>
        <v>0.48303240740740822</v>
      </c>
      <c r="F43" s="47" t="s">
        <v>311</v>
      </c>
      <c r="G43" s="18" t="s">
        <v>269</v>
      </c>
      <c r="H43" s="18"/>
      <c r="I43" s="18" t="s">
        <v>254</v>
      </c>
      <c r="J43" s="18" t="s">
        <v>276</v>
      </c>
      <c r="K43" s="44" t="s">
        <v>312</v>
      </c>
      <c r="L43" s="105">
        <f t="shared" si="2"/>
        <v>0.48181712962963036</v>
      </c>
      <c r="M43" s="105">
        <f t="shared" si="5"/>
        <v>0.48303240740740822</v>
      </c>
      <c r="N43" s="38"/>
      <c r="O43" s="38" t="s">
        <v>256</v>
      </c>
      <c r="P43" s="38" t="s">
        <v>256</v>
      </c>
      <c r="Q43" s="38" t="s">
        <v>256</v>
      </c>
      <c r="R43" s="38"/>
      <c r="T43" s="4"/>
      <c r="U43" s="4"/>
    </row>
    <row r="44" spans="1:21" x14ac:dyDescent="0.2">
      <c r="A44" s="48" t="s">
        <v>279</v>
      </c>
      <c r="B44" s="52">
        <f t="shared" ref="B44" si="12">C44-$C$26</f>
        <v>4.5532407407408215E-2</v>
      </c>
      <c r="C44" s="52">
        <f>'[1]Day 1-H'!$D$69</f>
        <v>0.48303240740740822</v>
      </c>
      <c r="D44" s="50">
        <f t="shared" si="4"/>
        <v>1.6782407407407995E-3</v>
      </c>
      <c r="E44" s="52">
        <f t="shared" si="6"/>
        <v>0.48471064814814901</v>
      </c>
      <c r="F44" s="47" t="s">
        <v>313</v>
      </c>
      <c r="G44" s="18" t="s">
        <v>269</v>
      </c>
      <c r="H44" s="18"/>
      <c r="I44" s="18" t="s">
        <v>254</v>
      </c>
      <c r="J44" s="18" t="s">
        <v>276</v>
      </c>
      <c r="K44" s="44" t="s">
        <v>314</v>
      </c>
      <c r="L44" s="105">
        <f t="shared" ref="L44" si="13">C44</f>
        <v>0.48303240740740822</v>
      </c>
      <c r="M44" s="105">
        <f t="shared" ref="M44" si="14">E44</f>
        <v>0.48471064814814901</v>
      </c>
      <c r="N44" s="38"/>
      <c r="O44" s="38" t="s">
        <v>256</v>
      </c>
      <c r="P44" s="38" t="s">
        <v>256</v>
      </c>
      <c r="Q44" s="38" t="s">
        <v>256</v>
      </c>
      <c r="R44" s="38"/>
      <c r="T44" s="4"/>
      <c r="U44" s="4"/>
    </row>
    <row r="45" spans="1:21" x14ac:dyDescent="0.2">
      <c r="A45" s="48" t="s">
        <v>279</v>
      </c>
      <c r="B45" s="52">
        <f t="shared" si="3"/>
        <v>4.7210648148149015E-2</v>
      </c>
      <c r="C45" s="52">
        <f>'[1]Day 1-H'!$D$73</f>
        <v>0.48471064814814901</v>
      </c>
      <c r="D45" s="50">
        <f t="shared" si="4"/>
        <v>2.0833333333333814E-3</v>
      </c>
      <c r="E45" s="52">
        <f t="shared" si="6"/>
        <v>0.4867939814814824</v>
      </c>
      <c r="F45" s="47" t="s">
        <v>315</v>
      </c>
      <c r="G45" s="18" t="s">
        <v>269</v>
      </c>
      <c r="H45" s="18"/>
      <c r="I45" s="18" t="s">
        <v>254</v>
      </c>
      <c r="J45" s="18" t="s">
        <v>276</v>
      </c>
      <c r="K45" s="44" t="s">
        <v>316</v>
      </c>
      <c r="L45" s="105">
        <f t="shared" si="2"/>
        <v>0.48471064814814901</v>
      </c>
      <c r="M45" s="105">
        <f t="shared" si="5"/>
        <v>0.4867939814814824</v>
      </c>
      <c r="N45" s="38"/>
      <c r="O45" s="38" t="s">
        <v>256</v>
      </c>
      <c r="P45" s="38" t="s">
        <v>256</v>
      </c>
      <c r="Q45" s="38" t="s">
        <v>256</v>
      </c>
      <c r="R45" s="38"/>
      <c r="T45" s="4"/>
      <c r="U45" s="4"/>
    </row>
    <row r="46" spans="1:21" x14ac:dyDescent="0.2">
      <c r="A46" s="48" t="s">
        <v>279</v>
      </c>
      <c r="B46" s="52">
        <f t="shared" si="3"/>
        <v>4.9293981481482396E-2</v>
      </c>
      <c r="C46" s="52">
        <f>'[1]Day 1-H'!$D$76</f>
        <v>0.4867939814814824</v>
      </c>
      <c r="D46" s="50">
        <f t="shared" si="4"/>
        <v>1.3888888888889395E-3</v>
      </c>
      <c r="E46" s="52">
        <f t="shared" si="6"/>
        <v>0.48818287037037134</v>
      </c>
      <c r="F46" s="47" t="s">
        <v>317</v>
      </c>
      <c r="G46" s="18" t="s">
        <v>269</v>
      </c>
      <c r="H46" s="18"/>
      <c r="I46" s="18" t="s">
        <v>254</v>
      </c>
      <c r="J46" s="18" t="s">
        <v>276</v>
      </c>
      <c r="K46" s="44" t="s">
        <v>318</v>
      </c>
      <c r="L46" s="105">
        <f t="shared" si="2"/>
        <v>0.4867939814814824</v>
      </c>
      <c r="M46" s="105">
        <f t="shared" si="5"/>
        <v>0.48818287037037134</v>
      </c>
      <c r="N46" s="38"/>
      <c r="O46" s="38" t="s">
        <v>256</v>
      </c>
      <c r="P46" s="38" t="s">
        <v>256</v>
      </c>
      <c r="Q46" s="38" t="s">
        <v>256</v>
      </c>
      <c r="R46" s="38"/>
      <c r="T46" s="4"/>
      <c r="U46" s="4"/>
    </row>
    <row r="47" spans="1:21" x14ac:dyDescent="0.2">
      <c r="A47" s="48" t="s">
        <v>279</v>
      </c>
      <c r="B47" s="52">
        <f t="shared" si="3"/>
        <v>5.0682870370371336E-2</v>
      </c>
      <c r="C47" s="52">
        <f>'[1]Day 1-H'!$D$79</f>
        <v>0.48818287037037134</v>
      </c>
      <c r="D47" s="50">
        <f t="shared" si="4"/>
        <v>1.3425925925926729E-3</v>
      </c>
      <c r="E47" s="52">
        <f t="shared" si="6"/>
        <v>0.48952546296296401</v>
      </c>
      <c r="F47" s="47" t="s">
        <v>319</v>
      </c>
      <c r="G47" s="18" t="s">
        <v>269</v>
      </c>
      <c r="H47" s="18"/>
      <c r="I47" s="18" t="s">
        <v>254</v>
      </c>
      <c r="J47" s="18" t="s">
        <v>276</v>
      </c>
      <c r="K47" s="44" t="s">
        <v>320</v>
      </c>
      <c r="L47" s="105">
        <f t="shared" si="2"/>
        <v>0.48818287037037134</v>
      </c>
      <c r="M47" s="105">
        <f t="shared" si="5"/>
        <v>0.48952546296296401</v>
      </c>
      <c r="N47" s="38"/>
      <c r="O47" s="38" t="s">
        <v>256</v>
      </c>
      <c r="P47" s="38" t="s">
        <v>256</v>
      </c>
      <c r="Q47" s="38" t="s">
        <v>256</v>
      </c>
      <c r="R47" s="38"/>
      <c r="T47" s="4"/>
      <c r="U47" s="4"/>
    </row>
    <row r="48" spans="1:21" x14ac:dyDescent="0.2">
      <c r="A48" s="48" t="s">
        <v>279</v>
      </c>
      <c r="B48" s="52">
        <f t="shared" si="3"/>
        <v>5.2025462962964009E-2</v>
      </c>
      <c r="C48" s="52">
        <f>'[1]Day 1-H'!$D$82</f>
        <v>0.48952546296296401</v>
      </c>
      <c r="D48" s="50">
        <f t="shared" si="4"/>
        <v>1.3425925925926729E-3</v>
      </c>
      <c r="E48" s="52">
        <f t="shared" si="6"/>
        <v>0.49086805555555668</v>
      </c>
      <c r="F48" s="47" t="s">
        <v>321</v>
      </c>
      <c r="G48" s="18" t="s">
        <v>269</v>
      </c>
      <c r="H48" s="18"/>
      <c r="I48" s="18" t="s">
        <v>254</v>
      </c>
      <c r="J48" s="18" t="s">
        <v>276</v>
      </c>
      <c r="K48" s="44" t="s">
        <v>322</v>
      </c>
      <c r="L48" s="105">
        <f t="shared" si="2"/>
        <v>0.48952546296296401</v>
      </c>
      <c r="M48" s="105">
        <f t="shared" si="5"/>
        <v>0.49086805555555668</v>
      </c>
      <c r="N48" s="38"/>
      <c r="O48" s="38" t="s">
        <v>256</v>
      </c>
      <c r="P48" s="38" t="s">
        <v>256</v>
      </c>
      <c r="Q48" s="38" t="s">
        <v>256</v>
      </c>
      <c r="R48" s="38"/>
      <c r="T48" s="4"/>
      <c r="U48" s="4"/>
    </row>
    <row r="49" spans="1:21" x14ac:dyDescent="0.2">
      <c r="A49" s="48" t="s">
        <v>279</v>
      </c>
      <c r="B49" s="52">
        <f t="shared" si="3"/>
        <v>5.3368055555556682E-2</v>
      </c>
      <c r="C49" s="52">
        <f>'[1]Day 1-H'!$D$85</f>
        <v>0.49086805555555668</v>
      </c>
      <c r="D49" s="50">
        <f t="shared" si="4"/>
        <v>1.8055555555556158E-3</v>
      </c>
      <c r="E49" s="52">
        <f t="shared" si="6"/>
        <v>0.4926736111111123</v>
      </c>
      <c r="F49" s="47" t="s">
        <v>323</v>
      </c>
      <c r="G49" s="18" t="s">
        <v>269</v>
      </c>
      <c r="H49" s="18"/>
      <c r="I49" s="18" t="s">
        <v>254</v>
      </c>
      <c r="J49" s="18" t="s">
        <v>276</v>
      </c>
      <c r="K49" s="44" t="s">
        <v>324</v>
      </c>
      <c r="L49" s="105">
        <f t="shared" si="2"/>
        <v>0.49086805555555668</v>
      </c>
      <c r="M49" s="105">
        <f t="shared" si="5"/>
        <v>0.4926736111111123</v>
      </c>
      <c r="N49" s="38"/>
      <c r="O49" s="38" t="s">
        <v>256</v>
      </c>
      <c r="P49" s="38" t="s">
        <v>256</v>
      </c>
      <c r="Q49" s="38" t="s">
        <v>256</v>
      </c>
      <c r="R49" s="38"/>
      <c r="T49" s="4"/>
      <c r="U49" s="4"/>
    </row>
    <row r="50" spans="1:21" x14ac:dyDescent="0.2">
      <c r="A50" s="48" t="s">
        <v>279</v>
      </c>
      <c r="B50" s="52">
        <f t="shared" si="3"/>
        <v>5.5173611111112297E-2</v>
      </c>
      <c r="C50" s="52">
        <f>'[1]Day 1-H'!$D$89</f>
        <v>0.4926736111111123</v>
      </c>
      <c r="D50" s="50">
        <f t="shared" si="4"/>
        <v>2.2569444444444642E-3</v>
      </c>
      <c r="E50" s="52">
        <f t="shared" si="6"/>
        <v>0.49493055555555676</v>
      </c>
      <c r="F50" s="47" t="s">
        <v>325</v>
      </c>
      <c r="G50" s="18" t="s">
        <v>269</v>
      </c>
      <c r="H50" s="18"/>
      <c r="I50" s="18" t="s">
        <v>254</v>
      </c>
      <c r="J50" s="18" t="s">
        <v>276</v>
      </c>
      <c r="K50" s="44" t="s">
        <v>326</v>
      </c>
      <c r="L50" s="105">
        <f t="shared" si="2"/>
        <v>0.4926736111111123</v>
      </c>
      <c r="M50" s="105">
        <f t="shared" si="5"/>
        <v>0.49493055555555676</v>
      </c>
      <c r="N50" s="38"/>
      <c r="O50" s="38" t="s">
        <v>256</v>
      </c>
      <c r="P50" s="38" t="s">
        <v>256</v>
      </c>
      <c r="Q50" s="38" t="s">
        <v>256</v>
      </c>
      <c r="R50" s="38"/>
      <c r="T50" s="4"/>
      <c r="U50" s="4"/>
    </row>
    <row r="51" spans="1:21" x14ac:dyDescent="0.2">
      <c r="A51" s="48" t="s">
        <v>279</v>
      </c>
      <c r="B51" s="52">
        <f t="shared" si="3"/>
        <v>5.7430555555556762E-2</v>
      </c>
      <c r="C51" s="52">
        <f>'[1]Day 1-H'!$D$92</f>
        <v>0.49493055555555676</v>
      </c>
      <c r="D51" s="50">
        <f t="shared" si="4"/>
        <v>1.6550925925926663E-3</v>
      </c>
      <c r="E51" s="52">
        <f t="shared" si="6"/>
        <v>0.49658564814814943</v>
      </c>
      <c r="F51" s="47" t="s">
        <v>327</v>
      </c>
      <c r="G51" s="18" t="s">
        <v>269</v>
      </c>
      <c r="H51" s="18"/>
      <c r="I51" s="18" t="s">
        <v>254</v>
      </c>
      <c r="J51" s="18" t="s">
        <v>276</v>
      </c>
      <c r="K51" s="44" t="s">
        <v>328</v>
      </c>
      <c r="L51" s="105">
        <f t="shared" si="2"/>
        <v>0.49493055555555676</v>
      </c>
      <c r="M51" s="105">
        <f t="shared" si="5"/>
        <v>0.49658564814814943</v>
      </c>
      <c r="N51" s="38"/>
      <c r="O51" s="38" t="s">
        <v>256</v>
      </c>
      <c r="P51" s="38" t="s">
        <v>256</v>
      </c>
      <c r="Q51" s="38" t="s">
        <v>256</v>
      </c>
      <c r="R51" s="38"/>
      <c r="T51" s="4"/>
      <c r="U51" s="4"/>
    </row>
    <row r="52" spans="1:21" x14ac:dyDescent="0.2">
      <c r="A52" s="48" t="s">
        <v>279</v>
      </c>
      <c r="B52" s="52">
        <f t="shared" si="3"/>
        <v>5.9085648148149428E-2</v>
      </c>
      <c r="C52" s="52">
        <f>'[1]Day 1-H'!$D$95</f>
        <v>0.49658564814814943</v>
      </c>
      <c r="D52" s="50">
        <f t="shared" si="4"/>
        <v>1.6203703703704386E-3</v>
      </c>
      <c r="E52" s="52">
        <f t="shared" si="6"/>
        <v>0.49820601851851987</v>
      </c>
      <c r="F52" s="47" t="s">
        <v>329</v>
      </c>
      <c r="G52" s="18" t="s">
        <v>269</v>
      </c>
      <c r="H52" s="18"/>
      <c r="I52" s="18" t="s">
        <v>254</v>
      </c>
      <c r="J52" s="18" t="s">
        <v>276</v>
      </c>
      <c r="K52" s="44" t="s">
        <v>330</v>
      </c>
      <c r="L52" s="105">
        <f t="shared" si="2"/>
        <v>0.49658564814814943</v>
      </c>
      <c r="M52" s="105">
        <f t="shared" si="5"/>
        <v>0.49820601851851987</v>
      </c>
      <c r="N52" s="38"/>
      <c r="O52" s="38" t="s">
        <v>256</v>
      </c>
      <c r="P52" s="38" t="s">
        <v>256</v>
      </c>
      <c r="Q52" s="38" t="s">
        <v>256</v>
      </c>
      <c r="R52" s="38"/>
      <c r="T52" s="4"/>
      <c r="U52" s="4"/>
    </row>
    <row r="53" spans="1:21" x14ac:dyDescent="0.2">
      <c r="A53" s="48" t="s">
        <v>279</v>
      </c>
      <c r="B53" s="52">
        <f t="shared" si="3"/>
        <v>6.0706018518519866E-2</v>
      </c>
      <c r="C53" s="52">
        <f>'[1]Day 1-H'!$D$98</f>
        <v>0.49820601851851987</v>
      </c>
      <c r="D53" s="50">
        <f t="shared" ref="D53" si="15">E53-C53</f>
        <v>1.6087962962963442E-3</v>
      </c>
      <c r="E53" s="52">
        <f t="shared" ref="E53" si="16">C54</f>
        <v>0.49981481481481621</v>
      </c>
      <c r="F53" s="47" t="s">
        <v>331</v>
      </c>
      <c r="G53" s="18" t="s">
        <v>269</v>
      </c>
      <c r="H53" s="18"/>
      <c r="I53" s="18" t="s">
        <v>254</v>
      </c>
      <c r="J53" s="18" t="s">
        <v>276</v>
      </c>
      <c r="K53" s="44" t="s">
        <v>332</v>
      </c>
      <c r="L53" s="105">
        <f t="shared" si="2"/>
        <v>0.49820601851851987</v>
      </c>
      <c r="M53" s="105">
        <f t="shared" si="5"/>
        <v>0.49981481481481621</v>
      </c>
      <c r="N53" s="38"/>
      <c r="O53" s="38" t="s">
        <v>256</v>
      </c>
      <c r="P53" s="38" t="s">
        <v>256</v>
      </c>
      <c r="Q53" s="38" t="s">
        <v>256</v>
      </c>
      <c r="R53" s="38"/>
      <c r="T53" s="4"/>
      <c r="U53" s="4"/>
    </row>
    <row r="54" spans="1:21" x14ac:dyDescent="0.2">
      <c r="A54" s="48" t="s">
        <v>279</v>
      </c>
      <c r="B54" s="52">
        <f t="shared" ref="B54" si="17">C54-$C$26</f>
        <v>6.2314814814816211E-2</v>
      </c>
      <c r="C54" s="52">
        <f>'[1]Day 1-H'!$D$101</f>
        <v>0.49981481481481621</v>
      </c>
      <c r="D54" s="50">
        <f t="shared" ref="D54" si="18">E54-C54</f>
        <v>2.0601851851851927E-3</v>
      </c>
      <c r="E54" s="52">
        <f t="shared" ref="E54" si="19">C55</f>
        <v>0.5018750000000014</v>
      </c>
      <c r="F54" s="47" t="s">
        <v>333</v>
      </c>
      <c r="G54" s="18" t="s">
        <v>269</v>
      </c>
      <c r="H54" s="18"/>
      <c r="I54" s="18" t="s">
        <v>254</v>
      </c>
      <c r="J54" s="18" t="s">
        <v>276</v>
      </c>
      <c r="K54" s="44" t="s">
        <v>334</v>
      </c>
      <c r="L54" s="105">
        <f t="shared" ref="L54" si="20">C54</f>
        <v>0.49981481481481621</v>
      </c>
      <c r="M54" s="105">
        <f t="shared" ref="M54" si="21">E54</f>
        <v>0.5018750000000014</v>
      </c>
      <c r="N54" s="38"/>
      <c r="O54" s="38" t="s">
        <v>256</v>
      </c>
      <c r="P54" s="38" t="s">
        <v>256</v>
      </c>
      <c r="Q54" s="38" t="s">
        <v>256</v>
      </c>
      <c r="R54" s="38"/>
      <c r="T54" s="4"/>
      <c r="U54" s="4"/>
    </row>
    <row r="55" spans="1:21" x14ac:dyDescent="0.2">
      <c r="A55" s="48" t="s">
        <v>279</v>
      </c>
      <c r="B55" s="52">
        <f t="shared" si="3"/>
        <v>6.4375000000001403E-2</v>
      </c>
      <c r="C55" s="52">
        <f>'[1]Day 1-H'!$D$105</f>
        <v>0.5018750000000014</v>
      </c>
      <c r="D55" s="50">
        <f t="shared" si="4"/>
        <v>2.5231481481481355E-3</v>
      </c>
      <c r="E55" s="52">
        <f t="shared" si="6"/>
        <v>0.50439814814814954</v>
      </c>
      <c r="F55" s="47" t="s">
        <v>335</v>
      </c>
      <c r="G55" s="18" t="s">
        <v>269</v>
      </c>
      <c r="H55" s="18"/>
      <c r="I55" s="18" t="s">
        <v>254</v>
      </c>
      <c r="J55" s="18" t="s">
        <v>276</v>
      </c>
      <c r="K55" s="44" t="s">
        <v>336</v>
      </c>
      <c r="L55" s="105">
        <f t="shared" si="2"/>
        <v>0.5018750000000014</v>
      </c>
      <c r="M55" s="105">
        <f t="shared" si="5"/>
        <v>0.50439814814814954</v>
      </c>
      <c r="N55" s="38"/>
      <c r="O55" s="38" t="s">
        <v>256</v>
      </c>
      <c r="P55" s="38" t="s">
        <v>256</v>
      </c>
      <c r="Q55" s="38" t="s">
        <v>256</v>
      </c>
      <c r="R55" s="38"/>
      <c r="T55" s="4"/>
      <c r="U55" s="4"/>
    </row>
    <row r="56" spans="1:21" x14ac:dyDescent="0.2">
      <c r="A56" s="48" t="s">
        <v>279</v>
      </c>
      <c r="B56" s="52">
        <f t="shared" si="3"/>
        <v>6.6898148148149539E-2</v>
      </c>
      <c r="C56" s="52">
        <f>'[1]Day 1-H'!$D$108</f>
        <v>0.50439814814814954</v>
      </c>
      <c r="D56" s="50">
        <f t="shared" si="4"/>
        <v>1.7245370370370106E-3</v>
      </c>
      <c r="E56" s="52">
        <f t="shared" si="6"/>
        <v>0.50612268518518655</v>
      </c>
      <c r="F56" s="47" t="s">
        <v>337</v>
      </c>
      <c r="G56" s="18" t="s">
        <v>269</v>
      </c>
      <c r="H56" s="18"/>
      <c r="I56" s="18" t="s">
        <v>254</v>
      </c>
      <c r="J56" s="18" t="s">
        <v>276</v>
      </c>
      <c r="K56" s="44" t="s">
        <v>338</v>
      </c>
      <c r="L56" s="105">
        <f t="shared" si="2"/>
        <v>0.50439814814814954</v>
      </c>
      <c r="M56" s="105">
        <f t="shared" si="5"/>
        <v>0.50612268518518655</v>
      </c>
      <c r="N56" s="38"/>
      <c r="O56" s="38" t="s">
        <v>256</v>
      </c>
      <c r="P56" s="38" t="s">
        <v>256</v>
      </c>
      <c r="Q56" s="38" t="s">
        <v>256</v>
      </c>
      <c r="R56" s="38"/>
      <c r="T56" s="4"/>
      <c r="U56" s="4"/>
    </row>
    <row r="57" spans="1:21" x14ac:dyDescent="0.2">
      <c r="A57" s="48" t="s">
        <v>279</v>
      </c>
      <c r="B57" s="52">
        <f t="shared" si="3"/>
        <v>6.8622685185186549E-2</v>
      </c>
      <c r="C57" s="52">
        <f>'[1]Day 1-H'!$D$111</f>
        <v>0.50612268518518655</v>
      </c>
      <c r="D57" s="50">
        <f t="shared" si="4"/>
        <v>1.6666666666667052E-3</v>
      </c>
      <c r="E57" s="52">
        <f t="shared" si="6"/>
        <v>0.50778935185185325</v>
      </c>
      <c r="F57" s="47" t="s">
        <v>339</v>
      </c>
      <c r="G57" s="18" t="s">
        <v>269</v>
      </c>
      <c r="H57" s="18"/>
      <c r="I57" s="18" t="s">
        <v>254</v>
      </c>
      <c r="J57" s="18" t="s">
        <v>276</v>
      </c>
      <c r="K57" s="44" t="s">
        <v>340</v>
      </c>
      <c r="L57" s="105">
        <f t="shared" si="2"/>
        <v>0.50612268518518655</v>
      </c>
      <c r="M57" s="105">
        <f t="shared" si="5"/>
        <v>0.50778935185185325</v>
      </c>
      <c r="N57" s="38"/>
      <c r="O57" s="38" t="s">
        <v>256</v>
      </c>
      <c r="P57" s="38" t="s">
        <v>256</v>
      </c>
      <c r="Q57" s="38" t="s">
        <v>256</v>
      </c>
      <c r="R57" s="38"/>
      <c r="T57" s="4"/>
      <c r="U57" s="4"/>
    </row>
    <row r="58" spans="1:21" x14ac:dyDescent="0.2">
      <c r="A58" s="48" t="s">
        <v>279</v>
      </c>
      <c r="B58" s="52">
        <f t="shared" si="3"/>
        <v>7.0289351851853255E-2</v>
      </c>
      <c r="C58" s="52">
        <f>'[1]Day 1-H'!$D$114</f>
        <v>0.50778935185185325</v>
      </c>
      <c r="D58" s="50">
        <f t="shared" si="4"/>
        <v>1.6550925925925553E-3</v>
      </c>
      <c r="E58" s="52">
        <f t="shared" si="6"/>
        <v>0.50944444444444581</v>
      </c>
      <c r="F58" s="47" t="s">
        <v>341</v>
      </c>
      <c r="G58" s="18" t="s">
        <v>269</v>
      </c>
      <c r="H58" s="18"/>
      <c r="I58" s="18" t="s">
        <v>254</v>
      </c>
      <c r="J58" s="18" t="s">
        <v>276</v>
      </c>
      <c r="K58" s="44" t="s">
        <v>342</v>
      </c>
      <c r="L58" s="105">
        <f t="shared" si="2"/>
        <v>0.50778935185185325</v>
      </c>
      <c r="M58" s="105">
        <f t="shared" si="5"/>
        <v>0.50944444444444581</v>
      </c>
      <c r="N58" s="38"/>
      <c r="O58" s="38" t="s">
        <v>256</v>
      </c>
      <c r="P58" s="38" t="s">
        <v>256</v>
      </c>
      <c r="Q58" s="38" t="s">
        <v>256</v>
      </c>
      <c r="R58" s="38"/>
      <c r="T58" s="4"/>
      <c r="U58" s="4"/>
    </row>
    <row r="59" spans="1:21" x14ac:dyDescent="0.2">
      <c r="A59" s="48" t="s">
        <v>279</v>
      </c>
      <c r="B59" s="52">
        <f t="shared" ref="B59" si="22">C59-$C$26</f>
        <v>7.194444444444581E-2</v>
      </c>
      <c r="C59" s="52">
        <f>'[1]Day 1-H'!$D$117</f>
        <v>0.50944444444444581</v>
      </c>
      <c r="D59" s="50">
        <f t="shared" si="4"/>
        <v>2.1180555555555536E-3</v>
      </c>
      <c r="E59" s="52">
        <f t="shared" si="6"/>
        <v>0.51156250000000136</v>
      </c>
      <c r="F59" s="47" t="s">
        <v>343</v>
      </c>
      <c r="G59" s="18" t="s">
        <v>269</v>
      </c>
      <c r="H59" s="18"/>
      <c r="I59" s="18" t="s">
        <v>254</v>
      </c>
      <c r="J59" s="18" t="s">
        <v>276</v>
      </c>
      <c r="K59" s="44" t="s">
        <v>344</v>
      </c>
      <c r="L59" s="105">
        <f t="shared" ref="L59" si="23">C59</f>
        <v>0.50944444444444581</v>
      </c>
      <c r="M59" s="105">
        <f t="shared" ref="M59" si="24">E59</f>
        <v>0.51156250000000136</v>
      </c>
      <c r="N59" s="38"/>
      <c r="O59" s="38" t="s">
        <v>256</v>
      </c>
      <c r="P59" s="38" t="s">
        <v>256</v>
      </c>
      <c r="Q59" s="38" t="s">
        <v>256</v>
      </c>
      <c r="R59" s="38"/>
      <c r="T59" s="4"/>
      <c r="U59" s="4"/>
    </row>
    <row r="60" spans="1:21" x14ac:dyDescent="0.2">
      <c r="A60" s="48" t="s">
        <v>279</v>
      </c>
      <c r="B60" s="52">
        <f t="shared" si="3"/>
        <v>7.4062500000001363E-2</v>
      </c>
      <c r="C60" s="52">
        <f>'[1]Day 1-H'!$D$121</f>
        <v>0.51156250000000136</v>
      </c>
      <c r="D60" s="50">
        <f t="shared" si="4"/>
        <v>3.3680555555555269E-3</v>
      </c>
      <c r="E60" s="52">
        <f t="shared" si="6"/>
        <v>0.51493055555555689</v>
      </c>
      <c r="F60" s="47" t="s">
        <v>345</v>
      </c>
      <c r="G60" s="18" t="s">
        <v>269</v>
      </c>
      <c r="H60" s="18"/>
      <c r="I60" s="18" t="s">
        <v>254</v>
      </c>
      <c r="J60" s="18" t="s">
        <v>276</v>
      </c>
      <c r="K60" s="44" t="s">
        <v>346</v>
      </c>
      <c r="L60" s="105">
        <f t="shared" si="2"/>
        <v>0.51156250000000136</v>
      </c>
      <c r="M60" s="105">
        <f t="shared" si="5"/>
        <v>0.51493055555555689</v>
      </c>
      <c r="N60" s="38"/>
      <c r="O60" s="38" t="s">
        <v>256</v>
      </c>
      <c r="P60" s="38" t="s">
        <v>256</v>
      </c>
      <c r="Q60" s="38" t="s">
        <v>256</v>
      </c>
      <c r="R60" s="38"/>
      <c r="T60" s="4"/>
      <c r="U60" s="4"/>
    </row>
    <row r="61" spans="1:21" x14ac:dyDescent="0.2">
      <c r="A61" s="48" t="s">
        <v>279</v>
      </c>
      <c r="B61" s="52">
        <f t="shared" si="3"/>
        <v>7.743055555555689E-2</v>
      </c>
      <c r="C61" s="52">
        <f>'[1]Day 1-H'!$D$124</f>
        <v>0.51493055555555689</v>
      </c>
      <c r="D61" s="50">
        <f t="shared" si="4"/>
        <v>2.7083333333333126E-3</v>
      </c>
      <c r="E61" s="52">
        <f t="shared" si="6"/>
        <v>0.5176388888888902</v>
      </c>
      <c r="F61" s="47" t="s">
        <v>347</v>
      </c>
      <c r="G61" s="18" t="s">
        <v>269</v>
      </c>
      <c r="H61" s="18"/>
      <c r="I61" s="18" t="s">
        <v>254</v>
      </c>
      <c r="J61" s="18" t="s">
        <v>276</v>
      </c>
      <c r="K61" s="44" t="s">
        <v>348</v>
      </c>
      <c r="L61" s="105">
        <f t="shared" si="2"/>
        <v>0.51493055555555689</v>
      </c>
      <c r="M61" s="105">
        <f t="shared" si="5"/>
        <v>0.5176388888888902</v>
      </c>
      <c r="N61" s="38"/>
      <c r="O61" s="38" t="s">
        <v>256</v>
      </c>
      <c r="P61" s="38" t="s">
        <v>256</v>
      </c>
      <c r="Q61" s="38" t="s">
        <v>256</v>
      </c>
      <c r="R61" s="38"/>
      <c r="T61" s="4"/>
      <c r="U61" s="4"/>
    </row>
    <row r="62" spans="1:21" x14ac:dyDescent="0.2">
      <c r="A62" s="48" t="s">
        <v>279</v>
      </c>
      <c r="B62" s="52">
        <f t="shared" si="3"/>
        <v>8.0138888888890203E-2</v>
      </c>
      <c r="C62" s="52">
        <f>'[1]Day 1-H'!$D$127</f>
        <v>0.5176388888888902</v>
      </c>
      <c r="D62" s="50">
        <f t="shared" si="4"/>
        <v>3.6111111111111205E-3</v>
      </c>
      <c r="E62" s="52">
        <f t="shared" si="6"/>
        <v>0.52125000000000132</v>
      </c>
      <c r="F62" s="47" t="s">
        <v>349</v>
      </c>
      <c r="G62" s="18" t="s">
        <v>269</v>
      </c>
      <c r="H62" s="18"/>
      <c r="I62" s="18" t="s">
        <v>254</v>
      </c>
      <c r="J62" s="18" t="s">
        <v>276</v>
      </c>
      <c r="K62" s="44" t="s">
        <v>350</v>
      </c>
      <c r="L62" s="105">
        <f t="shared" si="2"/>
        <v>0.5176388888888902</v>
      </c>
      <c r="M62" s="105">
        <f t="shared" si="5"/>
        <v>0.52125000000000132</v>
      </c>
      <c r="N62" s="38"/>
      <c r="O62" s="38" t="s">
        <v>256</v>
      </c>
      <c r="P62" s="38" t="s">
        <v>256</v>
      </c>
      <c r="Q62" s="38" t="s">
        <v>256</v>
      </c>
      <c r="R62" s="38"/>
      <c r="T62" s="4"/>
      <c r="U62" s="4"/>
    </row>
    <row r="63" spans="1:21" x14ac:dyDescent="0.2">
      <c r="A63" s="48" t="s">
        <v>279</v>
      </c>
      <c r="B63" s="52">
        <f t="shared" si="3"/>
        <v>8.3750000000001323E-2</v>
      </c>
      <c r="C63" s="52">
        <f>'[1]Day 1-H'!$D$131</f>
        <v>0.52125000000000132</v>
      </c>
      <c r="D63" s="50">
        <f t="shared" si="4"/>
        <v>4.5717592592592338E-3</v>
      </c>
      <c r="E63" s="52">
        <f t="shared" si="6"/>
        <v>0.52582175925926056</v>
      </c>
      <c r="F63" s="47" t="s">
        <v>351</v>
      </c>
      <c r="G63" s="18" t="s">
        <v>269</v>
      </c>
      <c r="H63" s="18"/>
      <c r="I63" s="18" t="s">
        <v>254</v>
      </c>
      <c r="J63" s="18" t="s">
        <v>276</v>
      </c>
      <c r="K63" s="44" t="s">
        <v>352</v>
      </c>
      <c r="L63" s="105">
        <f t="shared" si="2"/>
        <v>0.52125000000000132</v>
      </c>
      <c r="M63" s="105">
        <f t="shared" si="5"/>
        <v>0.52582175925926056</v>
      </c>
      <c r="N63" s="38"/>
      <c r="O63" s="38" t="s">
        <v>256</v>
      </c>
      <c r="P63" s="38" t="s">
        <v>256</v>
      </c>
      <c r="Q63" s="38" t="s">
        <v>256</v>
      </c>
      <c r="R63" s="38"/>
      <c r="T63" s="4"/>
      <c r="U63" s="4"/>
    </row>
    <row r="64" spans="1:21" x14ac:dyDescent="0.2">
      <c r="A64" s="48" t="s">
        <v>279</v>
      </c>
      <c r="B64" s="52">
        <f t="shared" si="3"/>
        <v>8.8321759259260557E-2</v>
      </c>
      <c r="C64" s="52">
        <f>'[1]Day 1-H'!$D$134</f>
        <v>0.52582175925926056</v>
      </c>
      <c r="D64" s="50">
        <f t="shared" si="4"/>
        <v>3.9120370370370194E-3</v>
      </c>
      <c r="E64" s="52">
        <f t="shared" si="6"/>
        <v>0.52973379629629758</v>
      </c>
      <c r="F64" s="47" t="s">
        <v>353</v>
      </c>
      <c r="G64" s="18" t="s">
        <v>269</v>
      </c>
      <c r="H64" s="18"/>
      <c r="I64" s="18" t="s">
        <v>254</v>
      </c>
      <c r="J64" s="18" t="s">
        <v>276</v>
      </c>
      <c r="K64" s="44" t="s">
        <v>354</v>
      </c>
      <c r="L64" s="105">
        <f t="shared" si="2"/>
        <v>0.52582175925926056</v>
      </c>
      <c r="M64" s="105">
        <f t="shared" si="5"/>
        <v>0.52973379629629758</v>
      </c>
      <c r="N64" s="38"/>
      <c r="O64" s="38" t="s">
        <v>256</v>
      </c>
      <c r="P64" s="38" t="s">
        <v>256</v>
      </c>
      <c r="Q64" s="38" t="s">
        <v>256</v>
      </c>
      <c r="R64" s="38"/>
      <c r="T64" s="4"/>
      <c r="U64" s="4"/>
    </row>
    <row r="65" spans="1:21" x14ac:dyDescent="0.2">
      <c r="A65" s="48" t="s">
        <v>279</v>
      </c>
      <c r="B65" s="52">
        <f t="shared" si="3"/>
        <v>9.2233796296297577E-2</v>
      </c>
      <c r="C65" s="52">
        <f>'[1]Day 1-H'!$D$137</f>
        <v>0.52973379629629758</v>
      </c>
      <c r="D65" s="50">
        <f t="shared" si="4"/>
        <v>4.2824074074074847E-3</v>
      </c>
      <c r="E65" s="52">
        <f t="shared" si="6"/>
        <v>0.53401620370370506</v>
      </c>
      <c r="F65" s="47" t="s">
        <v>355</v>
      </c>
      <c r="G65" s="18" t="s">
        <v>269</v>
      </c>
      <c r="H65" s="18"/>
      <c r="I65" s="18" t="s">
        <v>254</v>
      </c>
      <c r="J65" s="18" t="s">
        <v>276</v>
      </c>
      <c r="K65" s="44" t="s">
        <v>356</v>
      </c>
      <c r="L65" s="105">
        <f t="shared" si="2"/>
        <v>0.52973379629629758</v>
      </c>
      <c r="M65" s="105">
        <f t="shared" si="5"/>
        <v>0.53401620370370506</v>
      </c>
      <c r="N65" s="38"/>
      <c r="O65" s="38" t="s">
        <v>256</v>
      </c>
      <c r="P65" s="38" t="s">
        <v>256</v>
      </c>
      <c r="Q65" s="38" t="s">
        <v>256</v>
      </c>
      <c r="R65" s="38"/>
      <c r="T65" s="4"/>
      <c r="U65" s="4"/>
    </row>
    <row r="66" spans="1:21" x14ac:dyDescent="0.2">
      <c r="A66" s="48" t="s">
        <v>279</v>
      </c>
      <c r="B66" s="52">
        <f t="shared" si="3"/>
        <v>9.6516203703705061E-2</v>
      </c>
      <c r="C66" s="52">
        <f>'[1]Day 1-H'!$D$141</f>
        <v>0.53401620370370506</v>
      </c>
      <c r="D66" s="50">
        <f t="shared" si="4"/>
        <v>1.0416666666667185E-3</v>
      </c>
      <c r="E66" s="52">
        <f t="shared" si="6"/>
        <v>0.53505787037037178</v>
      </c>
      <c r="F66" s="18" t="s">
        <v>357</v>
      </c>
      <c r="G66" s="18" t="s">
        <v>269</v>
      </c>
      <c r="H66" s="18"/>
      <c r="I66" s="18" t="s">
        <v>254</v>
      </c>
      <c r="J66" s="18" t="s">
        <v>276</v>
      </c>
      <c r="K66" s="37"/>
      <c r="L66" s="105">
        <f t="shared" si="2"/>
        <v>0.53401620370370506</v>
      </c>
      <c r="M66" s="105">
        <f t="shared" si="5"/>
        <v>0.53505787037037178</v>
      </c>
      <c r="N66" s="38" t="s">
        <v>255</v>
      </c>
      <c r="O66" s="38" t="s">
        <v>256</v>
      </c>
      <c r="P66" s="38" t="s">
        <v>256</v>
      </c>
      <c r="Q66" s="38" t="s">
        <v>256</v>
      </c>
      <c r="R66" s="38"/>
      <c r="T66" s="4"/>
      <c r="U66" s="4"/>
    </row>
    <row r="67" spans="1:21" x14ac:dyDescent="0.2">
      <c r="A67" s="93" t="s">
        <v>279</v>
      </c>
      <c r="B67" s="94"/>
      <c r="C67" s="94">
        <f>'[1]Day 1-H'!$D$142</f>
        <v>0.53505787037037178</v>
      </c>
      <c r="D67" s="93"/>
      <c r="E67" s="94"/>
      <c r="F67" s="20" t="s">
        <v>358</v>
      </c>
      <c r="G67" s="18"/>
      <c r="H67" s="18"/>
      <c r="I67" s="18" t="s">
        <v>254</v>
      </c>
      <c r="J67" s="18" t="s">
        <v>276</v>
      </c>
      <c r="K67" s="37"/>
      <c r="L67" s="105">
        <f t="shared" si="2"/>
        <v>0.53505787037037178</v>
      </c>
      <c r="M67" s="105"/>
      <c r="N67" s="38" t="s">
        <v>255</v>
      </c>
      <c r="O67" s="38" t="s">
        <v>256</v>
      </c>
      <c r="P67" s="38" t="s">
        <v>256</v>
      </c>
      <c r="Q67" s="38" t="s">
        <v>256</v>
      </c>
      <c r="R67" s="38" t="s">
        <v>256</v>
      </c>
      <c r="T67" s="4"/>
      <c r="U67" s="4"/>
    </row>
    <row r="68" spans="1:21" x14ac:dyDescent="0.2">
      <c r="A68" s="46" t="s">
        <v>279</v>
      </c>
      <c r="B68" s="55"/>
      <c r="C68" s="64">
        <v>0.54166666666666663</v>
      </c>
      <c r="D68" s="46"/>
      <c r="E68" s="55"/>
      <c r="F68" s="33" t="s">
        <v>62</v>
      </c>
      <c r="G68" s="45"/>
      <c r="H68" s="45"/>
      <c r="I68" s="45" t="s">
        <v>254</v>
      </c>
      <c r="J68" s="45" t="s">
        <v>276</v>
      </c>
      <c r="K68" s="45"/>
      <c r="L68" s="106">
        <f t="shared" si="2"/>
        <v>0.54166666666666663</v>
      </c>
      <c r="M68" s="106"/>
      <c r="N68" s="46"/>
      <c r="O68" s="46" t="s">
        <v>256</v>
      </c>
      <c r="P68" s="46" t="s">
        <v>256</v>
      </c>
      <c r="Q68" s="46" t="s">
        <v>256</v>
      </c>
      <c r="R68" s="46" t="s">
        <v>256</v>
      </c>
      <c r="T68" s="4"/>
      <c r="U68" s="4"/>
    </row>
    <row r="69" spans="1:21" x14ac:dyDescent="0.2">
      <c r="A69" s="48" t="s">
        <v>279</v>
      </c>
      <c r="B69" s="52">
        <f t="shared" ref="B69:B74" si="25">C69-$C$26</f>
        <v>0.10416666666666663</v>
      </c>
      <c r="C69" s="52">
        <f>C68</f>
        <v>0.54166666666666663</v>
      </c>
      <c r="D69" s="50">
        <f t="shared" si="4"/>
        <v>4.166666666666663E-2</v>
      </c>
      <c r="E69" s="52">
        <f>$C$69+TIME(1,0,0)</f>
        <v>0.58333333333333326</v>
      </c>
      <c r="F69" s="47" t="s">
        <v>359</v>
      </c>
      <c r="G69" s="18" t="s">
        <v>264</v>
      </c>
      <c r="H69" s="18"/>
      <c r="I69" s="18" t="s">
        <v>254</v>
      </c>
      <c r="J69" s="37"/>
      <c r="K69" s="37"/>
      <c r="L69" s="37"/>
      <c r="M69" s="37"/>
      <c r="N69" s="38" t="s">
        <v>255</v>
      </c>
      <c r="O69" s="38"/>
      <c r="P69" s="38"/>
      <c r="Q69" s="38"/>
      <c r="R69" s="38" t="s">
        <v>256</v>
      </c>
      <c r="T69" s="4"/>
      <c r="U69" s="4"/>
    </row>
    <row r="70" spans="1:21" x14ac:dyDescent="0.2">
      <c r="A70" s="48" t="s">
        <v>279</v>
      </c>
      <c r="B70" s="52">
        <f>C70-$C$26</f>
        <v>0.1166666666666667</v>
      </c>
      <c r="C70" s="52">
        <v>0.5541666666666667</v>
      </c>
      <c r="D70" s="48"/>
      <c r="E70" s="52"/>
      <c r="F70" s="47" t="s">
        <v>65</v>
      </c>
      <c r="G70" s="18" t="s">
        <v>271</v>
      </c>
      <c r="H70" s="18"/>
      <c r="I70" s="18" t="s">
        <v>254</v>
      </c>
      <c r="J70" s="37"/>
      <c r="K70" s="37"/>
      <c r="L70" s="37"/>
      <c r="M70" s="37"/>
      <c r="N70" s="38" t="s">
        <v>255</v>
      </c>
      <c r="O70" s="38"/>
      <c r="P70" s="38"/>
      <c r="Q70" s="38"/>
      <c r="R70" s="38" t="s">
        <v>256</v>
      </c>
      <c r="T70" s="4"/>
      <c r="U70" s="4"/>
    </row>
    <row r="71" spans="1:21" x14ac:dyDescent="0.2">
      <c r="A71" s="48" t="s">
        <v>279</v>
      </c>
      <c r="B71" s="52">
        <f t="shared" si="25"/>
        <v>0.125</v>
      </c>
      <c r="C71" s="52">
        <v>0.5625</v>
      </c>
      <c r="D71" s="50">
        <f t="shared" si="4"/>
        <v>0.1875</v>
      </c>
      <c r="E71" s="52">
        <v>0.75</v>
      </c>
      <c r="F71" s="63" t="s">
        <v>360</v>
      </c>
      <c r="G71" s="18" t="s">
        <v>266</v>
      </c>
      <c r="H71" s="18"/>
      <c r="I71" s="18" t="s">
        <v>254</v>
      </c>
      <c r="J71" s="37"/>
      <c r="K71" s="37"/>
      <c r="L71" s="37"/>
      <c r="M71" s="37"/>
      <c r="N71" s="38" t="s">
        <v>255</v>
      </c>
      <c r="O71" s="38"/>
      <c r="P71" s="38"/>
      <c r="Q71" s="38"/>
      <c r="R71" s="38" t="s">
        <v>256</v>
      </c>
      <c r="T71" s="4"/>
      <c r="U71" s="4"/>
    </row>
    <row r="72" spans="1:21" x14ac:dyDescent="0.2">
      <c r="A72" s="48" t="s">
        <v>279</v>
      </c>
      <c r="B72" s="52">
        <f>C72-$C$26</f>
        <v>0.125</v>
      </c>
      <c r="C72" s="52">
        <f>$C$69+TIME(0,30,0)</f>
        <v>0.5625</v>
      </c>
      <c r="D72" s="48"/>
      <c r="E72" s="52"/>
      <c r="F72" s="47" t="s">
        <v>361</v>
      </c>
      <c r="G72" s="18"/>
      <c r="H72" s="18"/>
      <c r="I72" s="18" t="s">
        <v>254</v>
      </c>
      <c r="J72" s="37"/>
      <c r="K72" s="37"/>
      <c r="L72" s="37"/>
      <c r="M72" s="37"/>
      <c r="N72" s="38" t="s">
        <v>255</v>
      </c>
      <c r="O72" s="38"/>
      <c r="P72" s="38"/>
      <c r="Q72" s="38"/>
      <c r="R72" s="38"/>
      <c r="T72" s="4"/>
      <c r="U72" s="4"/>
    </row>
    <row r="73" spans="1:21" x14ac:dyDescent="0.2">
      <c r="A73" s="48" t="s">
        <v>279</v>
      </c>
      <c r="B73" s="52">
        <f t="shared" si="25"/>
        <v>0.13541666666666663</v>
      </c>
      <c r="C73" s="52">
        <f>$C$69+TIME(0,45,0)</f>
        <v>0.57291666666666663</v>
      </c>
      <c r="D73" s="48"/>
      <c r="E73" s="52"/>
      <c r="F73" s="18" t="s">
        <v>362</v>
      </c>
      <c r="G73" s="18" t="s">
        <v>271</v>
      </c>
      <c r="H73" s="18"/>
      <c r="I73" s="18" t="s">
        <v>254</v>
      </c>
      <c r="J73" s="37"/>
      <c r="K73" s="37"/>
      <c r="L73" s="37"/>
      <c r="M73" s="37"/>
      <c r="N73" s="38" t="s">
        <v>255</v>
      </c>
      <c r="O73" s="38"/>
      <c r="P73" s="38"/>
      <c r="Q73" s="38"/>
      <c r="R73" s="38" t="s">
        <v>256</v>
      </c>
      <c r="T73" s="4"/>
      <c r="U73" s="4"/>
    </row>
    <row r="74" spans="1:21" x14ac:dyDescent="0.2">
      <c r="A74" s="48"/>
      <c r="B74" s="52">
        <f t="shared" si="25"/>
        <v>0.14583333333333326</v>
      </c>
      <c r="C74" s="52">
        <f>$C$69+TIME(1,0,0)</f>
        <v>0.58333333333333326</v>
      </c>
      <c r="D74" s="48"/>
      <c r="E74" s="52"/>
      <c r="F74" s="47" t="s">
        <v>363</v>
      </c>
      <c r="G74" s="18"/>
      <c r="H74" s="18"/>
      <c r="I74" s="18" t="s">
        <v>254</v>
      </c>
      <c r="J74" s="37"/>
      <c r="K74" s="37"/>
      <c r="L74" s="37"/>
      <c r="M74" s="37"/>
      <c r="N74" s="38" t="s">
        <v>255</v>
      </c>
      <c r="O74" s="38"/>
      <c r="P74" s="38"/>
      <c r="Q74" s="38"/>
      <c r="R74" s="38" t="s">
        <v>256</v>
      </c>
      <c r="T74" s="4"/>
      <c r="U74" s="4"/>
    </row>
    <row r="75" spans="1:21" x14ac:dyDescent="0.2">
      <c r="A75" s="58"/>
      <c r="B75" s="59"/>
      <c r="C75" s="59"/>
      <c r="D75" s="58"/>
      <c r="E75" s="59"/>
      <c r="F75" s="60"/>
      <c r="G75" s="60"/>
      <c r="H75" s="60"/>
      <c r="I75" s="60" t="s">
        <v>254</v>
      </c>
      <c r="J75" s="60"/>
      <c r="K75" s="60"/>
      <c r="L75" s="60"/>
      <c r="M75" s="60"/>
      <c r="N75" s="58" t="s">
        <v>255</v>
      </c>
      <c r="O75" s="58"/>
      <c r="P75" s="58"/>
      <c r="Q75" s="58"/>
      <c r="R75" s="58"/>
      <c r="T75" s="4"/>
      <c r="U75" s="4"/>
    </row>
    <row r="76" spans="1:21" ht="14.25" customHeight="1" x14ac:dyDescent="0.2">
      <c r="A76" s="48" t="s">
        <v>252</v>
      </c>
      <c r="B76" s="52">
        <f t="shared" ref="B76:B82" si="26">$C$89-C76</f>
        <v>0.15069444444444458</v>
      </c>
      <c r="C76" s="52">
        <f>$C$86-TIME(3,30,0)</f>
        <v>0.64583333333333326</v>
      </c>
      <c r="D76" s="48"/>
      <c r="E76" s="52"/>
      <c r="F76" s="39" t="s">
        <v>364</v>
      </c>
      <c r="G76" s="18"/>
      <c r="H76" s="18"/>
      <c r="I76" s="18" t="s">
        <v>254</v>
      </c>
      <c r="J76" s="37"/>
      <c r="K76" s="37"/>
      <c r="L76" s="37"/>
      <c r="M76" s="37"/>
      <c r="N76" s="38" t="s">
        <v>255</v>
      </c>
      <c r="O76" s="38"/>
      <c r="P76" s="38"/>
      <c r="Q76" s="38"/>
      <c r="R76" s="38"/>
      <c r="T76" s="4"/>
      <c r="U76" s="4"/>
    </row>
    <row r="77" spans="1:21" x14ac:dyDescent="0.2">
      <c r="A77" s="48" t="s">
        <v>252</v>
      </c>
      <c r="B77" s="52">
        <f t="shared" si="26"/>
        <v>0.10902777777777783</v>
      </c>
      <c r="C77" s="52">
        <f>$C$86-TIME(2,30,0)</f>
        <v>0.6875</v>
      </c>
      <c r="D77" s="50">
        <f t="shared" ref="D77" si="27">E77-C77</f>
        <v>9.375E-2</v>
      </c>
      <c r="E77" s="52">
        <f>$C$86-TIME(0,15,0)</f>
        <v>0.78125</v>
      </c>
      <c r="F77" s="18" t="s">
        <v>365</v>
      </c>
      <c r="G77" s="18" t="s">
        <v>269</v>
      </c>
      <c r="H77" s="18"/>
      <c r="I77" s="18" t="s">
        <v>254</v>
      </c>
      <c r="J77" s="37"/>
      <c r="K77" s="37"/>
      <c r="L77" s="37"/>
      <c r="M77" s="37"/>
      <c r="N77" s="38" t="s">
        <v>255</v>
      </c>
      <c r="O77" s="38" t="s">
        <v>256</v>
      </c>
      <c r="P77" s="38"/>
      <c r="Q77" s="38" t="s">
        <v>256</v>
      </c>
      <c r="R77" s="38" t="s">
        <v>256</v>
      </c>
      <c r="T77" s="4"/>
      <c r="U77" s="4"/>
    </row>
    <row r="78" spans="1:21" x14ac:dyDescent="0.2">
      <c r="A78" s="48" t="s">
        <v>252</v>
      </c>
      <c r="B78" s="52">
        <f t="shared" si="26"/>
        <v>8.8194444444444575E-2</v>
      </c>
      <c r="C78" s="52">
        <f>$C$86-TIME(2,0,0)</f>
        <v>0.70833333333333326</v>
      </c>
      <c r="D78" s="48"/>
      <c r="E78" s="52"/>
      <c r="F78" s="20" t="s">
        <v>53</v>
      </c>
      <c r="G78" s="18"/>
      <c r="H78" s="18"/>
      <c r="I78" s="18" t="s">
        <v>254</v>
      </c>
      <c r="J78" s="37"/>
      <c r="K78" s="37"/>
      <c r="L78" s="37"/>
      <c r="M78" s="37"/>
      <c r="N78" s="38" t="s">
        <v>255</v>
      </c>
      <c r="O78" s="38"/>
      <c r="P78" s="38"/>
      <c r="Q78" s="38"/>
      <c r="R78" s="38" t="s">
        <v>256</v>
      </c>
      <c r="T78" s="4"/>
      <c r="U78" s="4"/>
    </row>
    <row r="79" spans="1:21" x14ac:dyDescent="0.2">
      <c r="A79" s="48" t="s">
        <v>252</v>
      </c>
      <c r="B79" s="52">
        <f t="shared" si="26"/>
        <v>8.8194444444444575E-2</v>
      </c>
      <c r="C79" s="52">
        <f>$C$86-TIME(2,0,0)</f>
        <v>0.70833333333333326</v>
      </c>
      <c r="D79" s="48"/>
      <c r="E79" s="52"/>
      <c r="F79" s="18" t="s">
        <v>270</v>
      </c>
      <c r="G79" s="18" t="s">
        <v>271</v>
      </c>
      <c r="H79" s="18"/>
      <c r="I79" s="18" t="s">
        <v>254</v>
      </c>
      <c r="J79" s="37"/>
      <c r="K79" s="37"/>
      <c r="L79" s="37"/>
      <c r="M79" s="37"/>
      <c r="N79" s="38" t="s">
        <v>255</v>
      </c>
      <c r="O79" s="38"/>
      <c r="P79" s="38"/>
      <c r="Q79" s="38"/>
      <c r="R79" s="38" t="s">
        <v>256</v>
      </c>
      <c r="T79" s="4"/>
      <c r="U79" s="4"/>
    </row>
    <row r="80" spans="1:21" x14ac:dyDescent="0.2">
      <c r="A80" s="48" t="s">
        <v>252</v>
      </c>
      <c r="B80" s="52">
        <f t="shared" si="26"/>
        <v>6.7361111111111205E-2</v>
      </c>
      <c r="C80" s="52">
        <f>$C$86-TIME(1,30,0)</f>
        <v>0.72916666666666663</v>
      </c>
      <c r="D80" s="48"/>
      <c r="E80" s="52"/>
      <c r="F80" s="18" t="s">
        <v>55</v>
      </c>
      <c r="G80" s="18" t="s">
        <v>39</v>
      </c>
      <c r="H80" s="18"/>
      <c r="I80" s="18" t="s">
        <v>254</v>
      </c>
      <c r="J80" s="37"/>
      <c r="K80" s="37"/>
      <c r="L80" s="37"/>
      <c r="M80" s="37"/>
      <c r="N80" s="38" t="s">
        <v>255</v>
      </c>
      <c r="O80" s="38"/>
      <c r="P80" s="38"/>
      <c r="Q80" s="38"/>
      <c r="R80" s="38" t="s">
        <v>256</v>
      </c>
      <c r="T80" s="4"/>
      <c r="U80" s="4"/>
    </row>
    <row r="81" spans="1:21" x14ac:dyDescent="0.2">
      <c r="A81" s="48" t="s">
        <v>252</v>
      </c>
      <c r="B81" s="52">
        <f t="shared" si="26"/>
        <v>5.6944444444444575E-2</v>
      </c>
      <c r="C81" s="52">
        <f>$C$86-TIME(1,15,0)</f>
        <v>0.73958333333333326</v>
      </c>
      <c r="D81" s="48"/>
      <c r="E81" s="52"/>
      <c r="F81" s="18" t="s">
        <v>366</v>
      </c>
      <c r="G81" s="18" t="s">
        <v>271</v>
      </c>
      <c r="H81" s="18"/>
      <c r="I81" s="18" t="s">
        <v>254</v>
      </c>
      <c r="J81" s="37"/>
      <c r="K81" s="37"/>
      <c r="L81" s="37"/>
      <c r="M81" s="37"/>
      <c r="N81" s="38" t="s">
        <v>255</v>
      </c>
      <c r="O81" s="38"/>
      <c r="P81" s="38"/>
      <c r="Q81" s="38"/>
      <c r="R81" s="38" t="s">
        <v>256</v>
      </c>
      <c r="T81" s="4"/>
      <c r="U81" s="4"/>
    </row>
    <row r="82" spans="1:21" x14ac:dyDescent="0.2">
      <c r="A82" s="48" t="s">
        <v>252</v>
      </c>
      <c r="B82" s="52">
        <f t="shared" si="26"/>
        <v>4.6527777777777835E-2</v>
      </c>
      <c r="C82" s="52">
        <f>$C$86-TIME(1,0,0)</f>
        <v>0.75</v>
      </c>
      <c r="D82" s="48"/>
      <c r="E82" s="52"/>
      <c r="F82" s="18" t="s">
        <v>52</v>
      </c>
      <c r="G82" s="18" t="s">
        <v>271</v>
      </c>
      <c r="H82" s="18"/>
      <c r="I82" s="18" t="s">
        <v>254</v>
      </c>
      <c r="J82" s="37"/>
      <c r="K82" s="37"/>
      <c r="L82" s="37"/>
      <c r="M82" s="37"/>
      <c r="N82" s="38" t="s">
        <v>255</v>
      </c>
      <c r="O82" s="38"/>
      <c r="P82" s="38"/>
      <c r="Q82" s="38"/>
      <c r="R82" s="38" t="s">
        <v>256</v>
      </c>
      <c r="T82" s="4"/>
      <c r="U82" s="4"/>
    </row>
    <row r="83" spans="1:21" x14ac:dyDescent="0.2">
      <c r="A83" s="48" t="s">
        <v>252</v>
      </c>
      <c r="B83" s="52">
        <f t="shared" ref="B83:B84" si="28">$C$89-C83</f>
        <v>4.6527777777777835E-2</v>
      </c>
      <c r="C83" s="52">
        <v>0.75</v>
      </c>
      <c r="D83" s="48"/>
      <c r="E83" s="52"/>
      <c r="F83" s="62" t="s">
        <v>367</v>
      </c>
      <c r="G83" s="18" t="s">
        <v>266</v>
      </c>
      <c r="H83" s="18"/>
      <c r="I83" s="18" t="s">
        <v>254</v>
      </c>
      <c r="J83" s="37"/>
      <c r="K83" s="37"/>
      <c r="L83" s="37"/>
      <c r="M83" s="37"/>
      <c r="N83" s="38" t="s">
        <v>255</v>
      </c>
      <c r="O83" s="38"/>
      <c r="P83" s="38"/>
      <c r="Q83" s="38"/>
      <c r="R83" s="38" t="s">
        <v>256</v>
      </c>
      <c r="T83" s="4"/>
      <c r="U83" s="4"/>
    </row>
    <row r="84" spans="1:21" x14ac:dyDescent="0.2">
      <c r="A84" s="48" t="s">
        <v>252</v>
      </c>
      <c r="B84" s="52">
        <f t="shared" si="28"/>
        <v>1.5277777777777835E-2</v>
      </c>
      <c r="C84" s="52">
        <f>$C$86-TIME(0,15,0)</f>
        <v>0.78125</v>
      </c>
      <c r="D84" s="48"/>
      <c r="E84" s="52"/>
      <c r="F84" s="18" t="s">
        <v>274</v>
      </c>
      <c r="G84" s="18" t="s">
        <v>269</v>
      </c>
      <c r="H84" s="18"/>
      <c r="I84" s="18" t="s">
        <v>254</v>
      </c>
      <c r="J84" s="37"/>
      <c r="K84" s="37"/>
      <c r="L84" s="37"/>
      <c r="M84" s="37"/>
      <c r="N84" s="38" t="s">
        <v>255</v>
      </c>
      <c r="O84" s="38" t="s">
        <v>256</v>
      </c>
      <c r="P84" s="38" t="s">
        <v>256</v>
      </c>
      <c r="Q84" s="38" t="s">
        <v>256</v>
      </c>
      <c r="R84" s="38" t="s">
        <v>256</v>
      </c>
      <c r="T84" s="4"/>
      <c r="U84" s="4"/>
    </row>
    <row r="85" spans="1:21" x14ac:dyDescent="0.2">
      <c r="A85" s="48" t="s">
        <v>252</v>
      </c>
      <c r="B85" s="52">
        <f>$C$89-C85</f>
        <v>1.5277777777777835E-2</v>
      </c>
      <c r="C85" s="52">
        <f>$C$86-TIME(0,15,0)</f>
        <v>0.78125</v>
      </c>
      <c r="D85" s="50">
        <f>E85-C85</f>
        <v>0.12847222222222221</v>
      </c>
      <c r="E85" s="52">
        <v>0.90972222222222221</v>
      </c>
      <c r="F85" s="18" t="s">
        <v>56</v>
      </c>
      <c r="G85" s="18" t="s">
        <v>269</v>
      </c>
      <c r="H85" s="18"/>
      <c r="I85" s="18" t="s">
        <v>254</v>
      </c>
      <c r="J85" s="37"/>
      <c r="K85" s="37"/>
      <c r="L85" s="37"/>
      <c r="M85" s="37"/>
      <c r="N85" s="38" t="s">
        <v>255</v>
      </c>
      <c r="O85" s="38" t="s">
        <v>256</v>
      </c>
      <c r="P85" s="38" t="s">
        <v>256</v>
      </c>
      <c r="Q85" s="38" t="s">
        <v>256</v>
      </c>
      <c r="R85" s="38" t="s">
        <v>256</v>
      </c>
      <c r="T85" s="4"/>
      <c r="U85" s="4"/>
    </row>
    <row r="86" spans="1:21" x14ac:dyDescent="0.2">
      <c r="A86" s="41" t="s">
        <v>252</v>
      </c>
      <c r="B86" s="53">
        <f>$C$89-C86</f>
        <v>4.8611111111112049E-3</v>
      </c>
      <c r="C86" s="65">
        <v>0.79166666666666663</v>
      </c>
      <c r="D86" s="41"/>
      <c r="E86" s="53"/>
      <c r="F86" s="31" t="s">
        <v>57</v>
      </c>
      <c r="G86" s="40"/>
      <c r="H86" s="40"/>
      <c r="I86" s="40" t="s">
        <v>254</v>
      </c>
      <c r="J86" s="40" t="s">
        <v>368</v>
      </c>
      <c r="K86" s="40"/>
      <c r="L86" s="103">
        <f t="shared" ref="L86:L114" si="29">C86</f>
        <v>0.79166666666666663</v>
      </c>
      <c r="M86" s="103"/>
      <c r="N86" s="41"/>
      <c r="O86" s="41" t="s">
        <v>256</v>
      </c>
      <c r="P86" s="41" t="s">
        <v>256</v>
      </c>
      <c r="Q86" s="41" t="s">
        <v>256</v>
      </c>
      <c r="R86" s="41" t="s">
        <v>256</v>
      </c>
      <c r="T86" s="4"/>
      <c r="U86" s="4"/>
    </row>
    <row r="87" spans="1:21" x14ac:dyDescent="0.2">
      <c r="A87" s="48" t="s">
        <v>252</v>
      </c>
      <c r="B87" s="52">
        <f>$C$89-C87</f>
        <v>3.4722222222222099E-3</v>
      </c>
      <c r="C87" s="52">
        <f>$C$89-TIME(0,5,0)</f>
        <v>0.79305555555555562</v>
      </c>
      <c r="D87" s="48"/>
      <c r="E87" s="52"/>
      <c r="F87" s="18" t="s">
        <v>275</v>
      </c>
      <c r="G87" s="18" t="s">
        <v>269</v>
      </c>
      <c r="H87" s="18"/>
      <c r="I87" s="18" t="s">
        <v>254</v>
      </c>
      <c r="J87" s="18" t="s">
        <v>368</v>
      </c>
      <c r="K87" s="37"/>
      <c r="L87" s="105">
        <f t="shared" si="29"/>
        <v>0.79305555555555562</v>
      </c>
      <c r="M87" s="105"/>
      <c r="N87" s="38" t="s">
        <v>255</v>
      </c>
      <c r="O87" s="38" t="s">
        <v>256</v>
      </c>
      <c r="P87" s="38" t="s">
        <v>256</v>
      </c>
      <c r="Q87" s="38" t="s">
        <v>256</v>
      </c>
      <c r="R87" s="38"/>
      <c r="T87" s="4"/>
      <c r="U87" s="4"/>
    </row>
    <row r="88" spans="1:21" x14ac:dyDescent="0.2">
      <c r="A88" s="48" t="s">
        <v>252</v>
      </c>
      <c r="B88" s="52">
        <f>$C$89-C88</f>
        <v>1.0416666666667185E-3</v>
      </c>
      <c r="C88" s="52">
        <f>$C$89-TIME(0,1,30)</f>
        <v>0.79548611111111112</v>
      </c>
      <c r="D88" s="52">
        <f>E88-C88</f>
        <v>1.0416666666667185E-3</v>
      </c>
      <c r="E88" s="52">
        <f>$C$89</f>
        <v>0.79652777777777783</v>
      </c>
      <c r="F88" s="18" t="s">
        <v>277</v>
      </c>
      <c r="G88" s="18" t="s">
        <v>39</v>
      </c>
      <c r="H88" s="18"/>
      <c r="I88" s="18" t="s">
        <v>254</v>
      </c>
      <c r="J88" s="18" t="s">
        <v>368</v>
      </c>
      <c r="K88" s="37"/>
      <c r="L88" s="105">
        <f t="shared" si="29"/>
        <v>0.79548611111111112</v>
      </c>
      <c r="M88" s="105">
        <f t="shared" ref="M88:M112" si="30">E88</f>
        <v>0.79652777777777783</v>
      </c>
      <c r="N88" s="38" t="s">
        <v>255</v>
      </c>
      <c r="O88" s="38" t="s">
        <v>256</v>
      </c>
      <c r="P88" s="38" t="s">
        <v>256</v>
      </c>
      <c r="Q88" s="38" t="s">
        <v>256</v>
      </c>
      <c r="R88" s="38"/>
      <c r="T88" s="4"/>
      <c r="U88" s="4"/>
    </row>
    <row r="89" spans="1:21" x14ac:dyDescent="0.2">
      <c r="A89" s="43"/>
      <c r="B89" s="43"/>
      <c r="C89" s="57">
        <v>0.79652777777777783</v>
      </c>
      <c r="D89" s="43"/>
      <c r="E89" s="54"/>
      <c r="F89" s="32" t="s">
        <v>60</v>
      </c>
      <c r="G89" s="42"/>
      <c r="H89" s="42"/>
      <c r="I89" s="42" t="s">
        <v>254</v>
      </c>
      <c r="J89" s="42" t="s">
        <v>368</v>
      </c>
      <c r="K89" s="42"/>
      <c r="L89" s="104">
        <f t="shared" si="29"/>
        <v>0.79652777777777783</v>
      </c>
      <c r="M89" s="104"/>
      <c r="N89" s="43"/>
      <c r="O89" s="43" t="s">
        <v>256</v>
      </c>
      <c r="P89" s="43" t="s">
        <v>256</v>
      </c>
      <c r="Q89" s="43" t="s">
        <v>256</v>
      </c>
      <c r="R89" s="43" t="s">
        <v>256</v>
      </c>
      <c r="T89" s="4"/>
      <c r="U89" s="4"/>
    </row>
    <row r="90" spans="1:21" x14ac:dyDescent="0.2">
      <c r="A90" s="48" t="s">
        <v>279</v>
      </c>
      <c r="B90" s="52">
        <f>C90-$C$89</f>
        <v>0</v>
      </c>
      <c r="C90" s="52">
        <f>'[1]Day 1-F'!$C$11</f>
        <v>0.79652777777777783</v>
      </c>
      <c r="D90" s="50">
        <f t="shared" ref="D90:D115" si="31">E90-C90</f>
        <v>6.0185185185185341E-3</v>
      </c>
      <c r="E90" s="52">
        <f>C91</f>
        <v>0.80254629629629637</v>
      </c>
      <c r="F90" s="7" t="s">
        <v>369</v>
      </c>
      <c r="G90" s="18" t="s">
        <v>269</v>
      </c>
      <c r="H90" s="18"/>
      <c r="I90" s="18" t="s">
        <v>254</v>
      </c>
      <c r="J90" s="18" t="s">
        <v>368</v>
      </c>
      <c r="K90" s="61" t="s">
        <v>370</v>
      </c>
      <c r="L90" s="107">
        <f t="shared" si="29"/>
        <v>0.79652777777777783</v>
      </c>
      <c r="M90" s="105">
        <f t="shared" si="30"/>
        <v>0.80254629629629637</v>
      </c>
      <c r="N90" s="38"/>
      <c r="O90" s="38" t="s">
        <v>256</v>
      </c>
      <c r="P90" s="38" t="s">
        <v>256</v>
      </c>
      <c r="Q90" s="38" t="s">
        <v>256</v>
      </c>
      <c r="R90" s="38"/>
      <c r="T90" s="4"/>
      <c r="U90" s="4"/>
    </row>
    <row r="91" spans="1:21" x14ac:dyDescent="0.2">
      <c r="A91" s="48" t="s">
        <v>279</v>
      </c>
      <c r="B91" s="52">
        <f t="shared" ref="B91:B112" si="32">C91-$C$89</f>
        <v>6.0185185185185341E-3</v>
      </c>
      <c r="C91" s="52">
        <f>'[1]Day 1-F'!$C$15</f>
        <v>0.80254629629629637</v>
      </c>
      <c r="D91" s="50">
        <f t="shared" si="31"/>
        <v>6.9907407407407973E-3</v>
      </c>
      <c r="E91" s="52">
        <f t="shared" ref="E91:E112" si="33">C92</f>
        <v>0.80953703703703717</v>
      </c>
      <c r="F91" s="7" t="s">
        <v>371</v>
      </c>
      <c r="G91" s="18" t="s">
        <v>269</v>
      </c>
      <c r="H91" s="18"/>
      <c r="I91" s="18" t="s">
        <v>254</v>
      </c>
      <c r="J91" s="18" t="s">
        <v>368</v>
      </c>
      <c r="K91" s="61" t="s">
        <v>372</v>
      </c>
      <c r="L91" s="107">
        <f t="shared" si="29"/>
        <v>0.80254629629629637</v>
      </c>
      <c r="M91" s="105">
        <f t="shared" si="30"/>
        <v>0.80953703703703717</v>
      </c>
      <c r="N91" s="38"/>
      <c r="O91" s="38" t="s">
        <v>256</v>
      </c>
      <c r="P91" s="38" t="s">
        <v>256</v>
      </c>
      <c r="Q91" s="38" t="s">
        <v>256</v>
      </c>
      <c r="R91" s="38"/>
      <c r="T91" s="4"/>
      <c r="U91" s="4"/>
    </row>
    <row r="92" spans="1:21" x14ac:dyDescent="0.2">
      <c r="A92" s="48" t="s">
        <v>279</v>
      </c>
      <c r="B92" s="52">
        <f t="shared" si="32"/>
        <v>1.3009259259259331E-2</v>
      </c>
      <c r="C92" s="52">
        <f>'[1]Day 1-F'!$C$19</f>
        <v>0.80953703703703717</v>
      </c>
      <c r="D92" s="50">
        <f t="shared" si="31"/>
        <v>5.0925925925926485E-3</v>
      </c>
      <c r="E92" s="52">
        <f t="shared" si="33"/>
        <v>0.81462962962962981</v>
      </c>
      <c r="F92" s="7" t="s">
        <v>373</v>
      </c>
      <c r="G92" s="18" t="s">
        <v>269</v>
      </c>
      <c r="H92" s="18"/>
      <c r="I92" s="18" t="s">
        <v>254</v>
      </c>
      <c r="J92" s="18" t="s">
        <v>368</v>
      </c>
      <c r="K92" s="61" t="s">
        <v>374</v>
      </c>
      <c r="L92" s="107">
        <f t="shared" si="29"/>
        <v>0.80953703703703717</v>
      </c>
      <c r="M92" s="105">
        <f t="shared" si="30"/>
        <v>0.81462962962962981</v>
      </c>
      <c r="N92" s="38"/>
      <c r="O92" s="38" t="s">
        <v>256</v>
      </c>
      <c r="P92" s="38" t="s">
        <v>256</v>
      </c>
      <c r="Q92" s="38" t="s">
        <v>256</v>
      </c>
      <c r="R92" s="38"/>
      <c r="T92" s="4"/>
      <c r="U92" s="4"/>
    </row>
    <row r="93" spans="1:21" x14ac:dyDescent="0.2">
      <c r="A93" s="48" t="s">
        <v>279</v>
      </c>
      <c r="B93" s="52">
        <f t="shared" si="32"/>
        <v>1.810185185185198E-2</v>
      </c>
      <c r="C93" s="52">
        <f>'[1]Day 1-F'!$C$23</f>
        <v>0.81462962962962981</v>
      </c>
      <c r="D93" s="50">
        <f t="shared" si="31"/>
        <v>5.2083333333333703E-3</v>
      </c>
      <c r="E93" s="52">
        <f t="shared" si="33"/>
        <v>0.81983796296296318</v>
      </c>
      <c r="F93" s="34" t="s">
        <v>375</v>
      </c>
      <c r="G93" s="18" t="s">
        <v>269</v>
      </c>
      <c r="H93" s="18"/>
      <c r="I93" s="18" t="s">
        <v>254</v>
      </c>
      <c r="J93" s="18" t="s">
        <v>368</v>
      </c>
      <c r="K93" s="44" t="s">
        <v>376</v>
      </c>
      <c r="L93" s="107">
        <f t="shared" si="29"/>
        <v>0.81462962962962981</v>
      </c>
      <c r="M93" s="105">
        <f t="shared" si="30"/>
        <v>0.81983796296296318</v>
      </c>
      <c r="N93" s="38"/>
      <c r="O93" s="38" t="s">
        <v>256</v>
      </c>
      <c r="P93" s="38" t="s">
        <v>256</v>
      </c>
      <c r="Q93" s="38" t="s">
        <v>256</v>
      </c>
      <c r="R93" s="38"/>
      <c r="T93" s="4"/>
      <c r="U93" s="4"/>
    </row>
    <row r="94" spans="1:21" x14ac:dyDescent="0.2">
      <c r="A94" s="48" t="s">
        <v>279</v>
      </c>
      <c r="B94" s="52">
        <f t="shared" si="32"/>
        <v>2.331018518518535E-2</v>
      </c>
      <c r="C94" s="52">
        <f>'[1]Day 1-F'!$C$24</f>
        <v>0.81983796296296318</v>
      </c>
      <c r="D94" s="50">
        <f t="shared" si="31"/>
        <v>5.2083333333333703E-3</v>
      </c>
      <c r="E94" s="52">
        <f t="shared" si="33"/>
        <v>0.82504629629629656</v>
      </c>
      <c r="F94" s="34" t="s">
        <v>377</v>
      </c>
      <c r="G94" s="18" t="s">
        <v>269</v>
      </c>
      <c r="H94" s="18"/>
      <c r="I94" s="18" t="s">
        <v>254</v>
      </c>
      <c r="J94" s="18" t="s">
        <v>368</v>
      </c>
      <c r="K94" s="44" t="s">
        <v>378</v>
      </c>
      <c r="L94" s="107">
        <f t="shared" si="29"/>
        <v>0.81983796296296318</v>
      </c>
      <c r="M94" s="105">
        <f t="shared" si="30"/>
        <v>0.82504629629629656</v>
      </c>
      <c r="N94" s="38"/>
      <c r="O94" s="38" t="s">
        <v>256</v>
      </c>
      <c r="P94" s="38" t="s">
        <v>256</v>
      </c>
      <c r="Q94" s="38" t="s">
        <v>256</v>
      </c>
      <c r="R94" s="38"/>
      <c r="T94" s="4"/>
      <c r="U94" s="4"/>
    </row>
    <row r="95" spans="1:21" ht="15" customHeight="1" x14ac:dyDescent="0.2">
      <c r="A95" s="48" t="s">
        <v>279</v>
      </c>
      <c r="B95" s="52">
        <f t="shared" si="32"/>
        <v>2.8518518518518721E-2</v>
      </c>
      <c r="C95" s="52">
        <f>'[1]Day 1-F'!$C$25</f>
        <v>0.82504629629629656</v>
      </c>
      <c r="D95" s="50">
        <f t="shared" si="31"/>
        <v>4.6296296296297612E-3</v>
      </c>
      <c r="E95" s="52">
        <f t="shared" si="33"/>
        <v>0.82967592592592632</v>
      </c>
      <c r="F95" s="7" t="s">
        <v>379</v>
      </c>
      <c r="G95" s="18" t="s">
        <v>269</v>
      </c>
      <c r="H95" s="18"/>
      <c r="I95" s="18" t="s">
        <v>254</v>
      </c>
      <c r="J95" s="18" t="s">
        <v>368</v>
      </c>
      <c r="K95" s="116" t="s">
        <v>1080</v>
      </c>
      <c r="L95" s="107">
        <f t="shared" si="29"/>
        <v>0.82504629629629656</v>
      </c>
      <c r="M95" s="105">
        <f t="shared" si="30"/>
        <v>0.82967592592592632</v>
      </c>
      <c r="N95" s="38"/>
      <c r="O95" s="38" t="s">
        <v>256</v>
      </c>
      <c r="P95" s="38" t="s">
        <v>256</v>
      </c>
      <c r="Q95" s="38" t="s">
        <v>256</v>
      </c>
      <c r="R95" s="38"/>
      <c r="T95" s="4"/>
      <c r="U95" s="4"/>
    </row>
    <row r="96" spans="1:21" x14ac:dyDescent="0.2">
      <c r="A96" s="48" t="s">
        <v>279</v>
      </c>
      <c r="B96" s="52">
        <f t="shared" si="32"/>
        <v>3.3148148148148482E-2</v>
      </c>
      <c r="C96" s="52">
        <f>'[1]Day 1-F'!$C$29</f>
        <v>0.82967592592592632</v>
      </c>
      <c r="D96" s="50">
        <f t="shared" si="31"/>
        <v>4.6296296296297612E-3</v>
      </c>
      <c r="E96" s="52">
        <f t="shared" si="33"/>
        <v>0.83430555555555608</v>
      </c>
      <c r="F96" s="7" t="s">
        <v>380</v>
      </c>
      <c r="G96" s="18" t="s">
        <v>269</v>
      </c>
      <c r="H96" s="18"/>
      <c r="I96" s="18" t="s">
        <v>254</v>
      </c>
      <c r="J96" s="18" t="s">
        <v>368</v>
      </c>
      <c r="K96" s="44" t="s">
        <v>1081</v>
      </c>
      <c r="L96" s="107">
        <f t="shared" si="29"/>
        <v>0.82967592592592632</v>
      </c>
      <c r="M96" s="105">
        <f t="shared" si="30"/>
        <v>0.83430555555555608</v>
      </c>
      <c r="N96" s="38"/>
      <c r="O96" s="38" t="s">
        <v>256</v>
      </c>
      <c r="P96" s="38" t="s">
        <v>256</v>
      </c>
      <c r="Q96" s="38" t="s">
        <v>256</v>
      </c>
      <c r="R96" s="38"/>
      <c r="T96" s="4"/>
      <c r="U96" s="4"/>
    </row>
    <row r="97" spans="1:21" x14ac:dyDescent="0.2">
      <c r="A97" s="48" t="s">
        <v>279</v>
      </c>
      <c r="B97" s="52">
        <f t="shared" si="32"/>
        <v>3.7777777777778243E-2</v>
      </c>
      <c r="C97" s="52">
        <f>'[1]Day 1-F'!$C$33</f>
        <v>0.83430555555555608</v>
      </c>
      <c r="D97" s="50">
        <f t="shared" si="31"/>
        <v>5.2083333333333703E-3</v>
      </c>
      <c r="E97" s="52">
        <f t="shared" si="33"/>
        <v>0.83951388888888945</v>
      </c>
      <c r="F97" s="34" t="s">
        <v>381</v>
      </c>
      <c r="G97" s="18" t="s">
        <v>269</v>
      </c>
      <c r="H97" s="18"/>
      <c r="I97" s="18" t="s">
        <v>254</v>
      </c>
      <c r="J97" s="18" t="s">
        <v>368</v>
      </c>
      <c r="K97" s="44" t="s">
        <v>382</v>
      </c>
      <c r="L97" s="107">
        <f t="shared" si="29"/>
        <v>0.83430555555555608</v>
      </c>
      <c r="M97" s="105">
        <f t="shared" si="30"/>
        <v>0.83951388888888945</v>
      </c>
      <c r="N97" s="38"/>
      <c r="O97" s="38" t="s">
        <v>256</v>
      </c>
      <c r="P97" s="38" t="s">
        <v>256</v>
      </c>
      <c r="Q97" s="38" t="s">
        <v>256</v>
      </c>
      <c r="R97" s="38"/>
      <c r="T97" s="4"/>
      <c r="U97" s="4"/>
    </row>
    <row r="98" spans="1:21" x14ac:dyDescent="0.2">
      <c r="A98" s="48" t="s">
        <v>279</v>
      </c>
      <c r="B98" s="52">
        <f t="shared" si="32"/>
        <v>4.2986111111111613E-2</v>
      </c>
      <c r="C98" s="52">
        <f>'[1]Day 1-F'!$C$34</f>
        <v>0.83951388888888945</v>
      </c>
      <c r="D98" s="50">
        <f t="shared" si="31"/>
        <v>3.6458333333333481E-3</v>
      </c>
      <c r="E98" s="52">
        <f t="shared" si="33"/>
        <v>0.8431597222222228</v>
      </c>
      <c r="F98" s="18" t="s">
        <v>383</v>
      </c>
      <c r="G98" s="18" t="s">
        <v>269</v>
      </c>
      <c r="H98" s="18"/>
      <c r="I98" s="18" t="s">
        <v>254</v>
      </c>
      <c r="J98" s="18" t="s">
        <v>368</v>
      </c>
      <c r="K98" s="44" t="s">
        <v>384</v>
      </c>
      <c r="L98" s="107">
        <f t="shared" si="29"/>
        <v>0.83951388888888945</v>
      </c>
      <c r="M98" s="105">
        <f t="shared" si="30"/>
        <v>0.8431597222222228</v>
      </c>
      <c r="N98" s="38"/>
      <c r="O98" s="38" t="s">
        <v>256</v>
      </c>
      <c r="P98" s="38" t="s">
        <v>256</v>
      </c>
      <c r="Q98" s="38" t="s">
        <v>256</v>
      </c>
      <c r="R98" s="38"/>
      <c r="T98" s="4"/>
      <c r="U98" s="4"/>
    </row>
    <row r="99" spans="1:21" x14ac:dyDescent="0.2">
      <c r="A99" s="48" t="s">
        <v>279</v>
      </c>
      <c r="B99" s="52">
        <f t="shared" si="32"/>
        <v>4.6631944444444962E-2</v>
      </c>
      <c r="C99" s="52">
        <f>'[1]Day 1-F'!$C$38</f>
        <v>0.8431597222222228</v>
      </c>
      <c r="D99" s="50">
        <f t="shared" si="31"/>
        <v>3.4722222222222099E-3</v>
      </c>
      <c r="E99" s="52">
        <f t="shared" si="33"/>
        <v>0.84663194444444501</v>
      </c>
      <c r="F99" s="18" t="s">
        <v>385</v>
      </c>
      <c r="G99" s="18" t="s">
        <v>269</v>
      </c>
      <c r="H99" s="18"/>
      <c r="I99" s="18" t="s">
        <v>254</v>
      </c>
      <c r="J99" s="18" t="s">
        <v>368</v>
      </c>
      <c r="K99" s="44" t="s">
        <v>386</v>
      </c>
      <c r="L99" s="107">
        <f t="shared" si="29"/>
        <v>0.8431597222222228</v>
      </c>
      <c r="M99" s="105">
        <f t="shared" si="30"/>
        <v>0.84663194444444501</v>
      </c>
      <c r="N99" s="38"/>
      <c r="O99" s="38" t="s">
        <v>256</v>
      </c>
      <c r="P99" s="38" t="s">
        <v>256</v>
      </c>
      <c r="Q99" s="38" t="s">
        <v>256</v>
      </c>
      <c r="R99" s="38"/>
      <c r="T99" s="4"/>
      <c r="U99" s="4"/>
    </row>
    <row r="100" spans="1:21" x14ac:dyDescent="0.2">
      <c r="A100" s="48" t="s">
        <v>279</v>
      </c>
      <c r="B100" s="52">
        <f t="shared" si="32"/>
        <v>5.0104166666667171E-2</v>
      </c>
      <c r="C100" s="52">
        <f>'[1]Day 1-F'!$C$42</f>
        <v>0.84663194444444501</v>
      </c>
      <c r="D100" s="50">
        <f t="shared" si="31"/>
        <v>3.6458333333333481E-3</v>
      </c>
      <c r="E100" s="52">
        <f t="shared" si="33"/>
        <v>0.85027777777777835</v>
      </c>
      <c r="F100" s="18" t="s">
        <v>387</v>
      </c>
      <c r="G100" s="18" t="s">
        <v>269</v>
      </c>
      <c r="H100" s="18"/>
      <c r="I100" s="18" t="s">
        <v>254</v>
      </c>
      <c r="J100" s="18" t="s">
        <v>368</v>
      </c>
      <c r="K100" s="18" t="s">
        <v>388</v>
      </c>
      <c r="L100" s="105">
        <f t="shared" si="29"/>
        <v>0.84663194444444501</v>
      </c>
      <c r="M100" s="105">
        <f t="shared" si="30"/>
        <v>0.85027777777777835</v>
      </c>
      <c r="N100" s="38"/>
      <c r="O100" s="38" t="s">
        <v>256</v>
      </c>
      <c r="P100" s="38" t="s">
        <v>256</v>
      </c>
      <c r="Q100" s="38" t="s">
        <v>256</v>
      </c>
      <c r="R100" s="38"/>
      <c r="T100" s="4"/>
      <c r="U100" s="4"/>
    </row>
    <row r="101" spans="1:21" x14ac:dyDescent="0.2">
      <c r="A101" s="48" t="s">
        <v>279</v>
      </c>
      <c r="B101" s="52">
        <f t="shared" si="32"/>
        <v>5.375000000000052E-2</v>
      </c>
      <c r="C101" s="52">
        <f>'[1]Day 1-F'!$C$46</f>
        <v>0.85027777777777835</v>
      </c>
      <c r="D101" s="50">
        <f t="shared" si="31"/>
        <v>3.4722222222222099E-3</v>
      </c>
      <c r="E101" s="52">
        <f t="shared" si="33"/>
        <v>0.85375000000000056</v>
      </c>
      <c r="F101" s="18" t="s">
        <v>389</v>
      </c>
      <c r="G101" s="18" t="s">
        <v>269</v>
      </c>
      <c r="H101" s="18"/>
      <c r="I101" s="18" t="s">
        <v>254</v>
      </c>
      <c r="J101" s="18" t="s">
        <v>368</v>
      </c>
      <c r="K101" s="18" t="s">
        <v>390</v>
      </c>
      <c r="L101" s="105">
        <f t="shared" si="29"/>
        <v>0.85027777777777835</v>
      </c>
      <c r="M101" s="105">
        <f t="shared" si="30"/>
        <v>0.85375000000000056</v>
      </c>
      <c r="N101" s="38"/>
      <c r="O101" s="38" t="s">
        <v>256</v>
      </c>
      <c r="P101" s="38" t="s">
        <v>256</v>
      </c>
      <c r="Q101" s="38" t="s">
        <v>256</v>
      </c>
      <c r="R101" s="38"/>
      <c r="T101" s="4"/>
      <c r="U101" s="4"/>
    </row>
    <row r="102" spans="1:21" x14ac:dyDescent="0.2">
      <c r="A102" s="48" t="s">
        <v>279</v>
      </c>
      <c r="B102" s="52">
        <f t="shared" si="32"/>
        <v>5.7222222222222729E-2</v>
      </c>
      <c r="C102" s="52">
        <f>'[1]Day 1-F'!$C$50</f>
        <v>0.85375000000000056</v>
      </c>
      <c r="D102" s="50">
        <f t="shared" si="31"/>
        <v>5.2083333333333703E-3</v>
      </c>
      <c r="E102" s="52">
        <f t="shared" si="33"/>
        <v>0.85895833333333393</v>
      </c>
      <c r="F102" s="34" t="s">
        <v>391</v>
      </c>
      <c r="G102" s="18" t="s">
        <v>269</v>
      </c>
      <c r="H102" s="18"/>
      <c r="I102" s="18" t="s">
        <v>254</v>
      </c>
      <c r="J102" s="18" t="s">
        <v>368</v>
      </c>
      <c r="K102" s="18" t="s">
        <v>392</v>
      </c>
      <c r="L102" s="105">
        <f t="shared" si="29"/>
        <v>0.85375000000000056</v>
      </c>
      <c r="M102" s="105">
        <f t="shared" si="30"/>
        <v>0.85895833333333393</v>
      </c>
      <c r="N102" s="38"/>
      <c r="O102" s="38" t="s">
        <v>256</v>
      </c>
      <c r="P102" s="38" t="s">
        <v>256</v>
      </c>
      <c r="Q102" s="38" t="s">
        <v>256</v>
      </c>
      <c r="R102" s="38"/>
      <c r="T102" s="4"/>
      <c r="U102" s="4"/>
    </row>
    <row r="103" spans="1:21" x14ac:dyDescent="0.2">
      <c r="A103" s="48" t="s">
        <v>279</v>
      </c>
      <c r="B103" s="52">
        <f t="shared" si="32"/>
        <v>6.24305555555561E-2</v>
      </c>
      <c r="C103" s="52">
        <f>'[1]Day 1-F'!$C$51</f>
        <v>0.85895833333333393</v>
      </c>
      <c r="D103" s="50">
        <f t="shared" si="31"/>
        <v>5.2083333333333703E-3</v>
      </c>
      <c r="E103" s="52">
        <f t="shared" si="33"/>
        <v>0.8641666666666673</v>
      </c>
      <c r="F103" s="34" t="s">
        <v>393</v>
      </c>
      <c r="G103" s="18" t="s">
        <v>269</v>
      </c>
      <c r="H103" s="18"/>
      <c r="I103" s="18" t="s">
        <v>254</v>
      </c>
      <c r="J103" s="18" t="s">
        <v>368</v>
      </c>
      <c r="K103" s="18" t="s">
        <v>394</v>
      </c>
      <c r="L103" s="105">
        <f t="shared" si="29"/>
        <v>0.85895833333333393</v>
      </c>
      <c r="M103" s="105">
        <f t="shared" si="30"/>
        <v>0.8641666666666673</v>
      </c>
      <c r="N103" s="38"/>
      <c r="O103" s="38" t="s">
        <v>256</v>
      </c>
      <c r="P103" s="38" t="s">
        <v>256</v>
      </c>
      <c r="Q103" s="38" t="s">
        <v>256</v>
      </c>
      <c r="R103" s="38"/>
      <c r="T103" s="4"/>
      <c r="U103" s="4"/>
    </row>
    <row r="104" spans="1:21" x14ac:dyDescent="0.2">
      <c r="A104" s="48" t="s">
        <v>279</v>
      </c>
      <c r="B104" s="52">
        <f t="shared" si="32"/>
        <v>6.763888888888947E-2</v>
      </c>
      <c r="C104" s="52">
        <f>'[1]Day 1-F'!$C$52</f>
        <v>0.8641666666666673</v>
      </c>
      <c r="D104" s="50">
        <f t="shared" si="31"/>
        <v>4.1435185185185741E-3</v>
      </c>
      <c r="E104" s="52">
        <f t="shared" si="33"/>
        <v>0.86831018518518588</v>
      </c>
      <c r="F104" s="18" t="s">
        <v>395</v>
      </c>
      <c r="G104" s="18" t="s">
        <v>269</v>
      </c>
      <c r="H104" s="18"/>
      <c r="I104" s="18" t="s">
        <v>254</v>
      </c>
      <c r="J104" s="18" t="s">
        <v>368</v>
      </c>
      <c r="K104" s="18" t="s">
        <v>396</v>
      </c>
      <c r="L104" s="105">
        <f t="shared" si="29"/>
        <v>0.8641666666666673</v>
      </c>
      <c r="M104" s="105">
        <f t="shared" si="30"/>
        <v>0.86831018518518588</v>
      </c>
      <c r="N104" s="38"/>
      <c r="O104" s="38" t="s">
        <v>256</v>
      </c>
      <c r="P104" s="38" t="s">
        <v>256</v>
      </c>
      <c r="Q104" s="38" t="s">
        <v>256</v>
      </c>
      <c r="R104" s="38"/>
      <c r="T104" s="4"/>
      <c r="U104" s="4"/>
    </row>
    <row r="105" spans="1:21" x14ac:dyDescent="0.2">
      <c r="A105" s="48" t="s">
        <v>279</v>
      </c>
      <c r="B105" s="52">
        <f t="shared" si="32"/>
        <v>7.1782407407408044E-2</v>
      </c>
      <c r="C105" s="52">
        <f>'[1]Day 1-F'!$C$56</f>
        <v>0.86831018518518588</v>
      </c>
      <c r="D105" s="50">
        <f t="shared" si="31"/>
        <v>3.9699074074074359E-3</v>
      </c>
      <c r="E105" s="52">
        <f t="shared" si="33"/>
        <v>0.87228009259259331</v>
      </c>
      <c r="F105" s="18" t="s">
        <v>397</v>
      </c>
      <c r="G105" s="18" t="s">
        <v>269</v>
      </c>
      <c r="H105" s="18"/>
      <c r="I105" s="18" t="s">
        <v>254</v>
      </c>
      <c r="J105" s="18" t="s">
        <v>368</v>
      </c>
      <c r="K105" s="18" t="s">
        <v>398</v>
      </c>
      <c r="L105" s="105">
        <f t="shared" si="29"/>
        <v>0.86831018518518588</v>
      </c>
      <c r="M105" s="105">
        <f t="shared" si="30"/>
        <v>0.87228009259259331</v>
      </c>
      <c r="N105" s="38"/>
      <c r="O105" s="38" t="s">
        <v>256</v>
      </c>
      <c r="P105" s="38" t="s">
        <v>256</v>
      </c>
      <c r="Q105" s="38" t="s">
        <v>256</v>
      </c>
      <c r="R105" s="38"/>
      <c r="T105" s="4"/>
      <c r="U105" s="4"/>
    </row>
    <row r="106" spans="1:21" x14ac:dyDescent="0.2">
      <c r="A106" s="48" t="s">
        <v>279</v>
      </c>
      <c r="B106" s="52">
        <f t="shared" si="32"/>
        <v>7.575231481481548E-2</v>
      </c>
      <c r="C106" s="52">
        <f>'[1]Day 1-F'!$C$60</f>
        <v>0.87228009259259331</v>
      </c>
      <c r="D106" s="50">
        <f t="shared" si="31"/>
        <v>4.0625000000000799E-3</v>
      </c>
      <c r="E106" s="52">
        <f t="shared" si="33"/>
        <v>0.87634259259259339</v>
      </c>
      <c r="F106" s="18" t="s">
        <v>399</v>
      </c>
      <c r="G106" s="18" t="s">
        <v>269</v>
      </c>
      <c r="H106" s="18"/>
      <c r="I106" s="18" t="s">
        <v>254</v>
      </c>
      <c r="J106" s="18" t="s">
        <v>368</v>
      </c>
      <c r="K106" s="18" t="s">
        <v>400</v>
      </c>
      <c r="L106" s="105">
        <f t="shared" si="29"/>
        <v>0.87228009259259331</v>
      </c>
      <c r="M106" s="105">
        <f t="shared" si="30"/>
        <v>0.87634259259259339</v>
      </c>
      <c r="N106" s="38"/>
      <c r="O106" s="38" t="s">
        <v>256</v>
      </c>
      <c r="P106" s="38" t="s">
        <v>256</v>
      </c>
      <c r="Q106" s="38" t="s">
        <v>256</v>
      </c>
      <c r="R106" s="38"/>
      <c r="T106" s="4"/>
      <c r="U106" s="4"/>
    </row>
    <row r="107" spans="1:21" x14ac:dyDescent="0.2">
      <c r="A107" s="48" t="s">
        <v>279</v>
      </c>
      <c r="B107" s="52">
        <f t="shared" si="32"/>
        <v>7.981481481481556E-2</v>
      </c>
      <c r="C107" s="52">
        <f>'[1]Day 1-F'!$C$64</f>
        <v>0.87634259259259339</v>
      </c>
      <c r="D107" s="50">
        <f t="shared" si="31"/>
        <v>3.8888888888889417E-3</v>
      </c>
      <c r="E107" s="52">
        <f t="shared" si="33"/>
        <v>0.88023148148148234</v>
      </c>
      <c r="F107" s="18" t="s">
        <v>401</v>
      </c>
      <c r="G107" s="18" t="s">
        <v>269</v>
      </c>
      <c r="H107" s="18"/>
      <c r="I107" s="18" t="s">
        <v>254</v>
      </c>
      <c r="J107" s="18" t="s">
        <v>368</v>
      </c>
      <c r="K107" s="18" t="s">
        <v>402</v>
      </c>
      <c r="L107" s="105">
        <f t="shared" si="29"/>
        <v>0.87634259259259339</v>
      </c>
      <c r="M107" s="105">
        <f t="shared" si="30"/>
        <v>0.88023148148148234</v>
      </c>
      <c r="N107" s="38"/>
      <c r="O107" s="38" t="s">
        <v>256</v>
      </c>
      <c r="P107" s="38" t="s">
        <v>256</v>
      </c>
      <c r="Q107" s="38" t="s">
        <v>256</v>
      </c>
      <c r="R107" s="38"/>
      <c r="T107" s="4"/>
      <c r="U107" s="4"/>
    </row>
    <row r="108" spans="1:21" x14ac:dyDescent="0.2">
      <c r="A108" s="48" t="s">
        <v>279</v>
      </c>
      <c r="B108" s="52">
        <f t="shared" si="32"/>
        <v>8.3703703703704502E-2</v>
      </c>
      <c r="C108" s="52">
        <f>'[1]Day 1-F'!$C$68</f>
        <v>0.88023148148148234</v>
      </c>
      <c r="D108" s="50">
        <f t="shared" si="31"/>
        <v>5.2314814814815591E-3</v>
      </c>
      <c r="E108" s="52">
        <f t="shared" si="33"/>
        <v>0.8854629629629639</v>
      </c>
      <c r="F108" s="7" t="s">
        <v>403</v>
      </c>
      <c r="G108" s="18" t="s">
        <v>269</v>
      </c>
      <c r="H108" s="18"/>
      <c r="I108" s="18" t="s">
        <v>254</v>
      </c>
      <c r="J108" s="18" t="s">
        <v>368</v>
      </c>
      <c r="K108" s="18" t="s">
        <v>404</v>
      </c>
      <c r="L108" s="105">
        <f t="shared" si="29"/>
        <v>0.88023148148148234</v>
      </c>
      <c r="M108" s="105">
        <f t="shared" si="30"/>
        <v>0.8854629629629639</v>
      </c>
      <c r="N108" s="38"/>
      <c r="O108" s="38" t="s">
        <v>256</v>
      </c>
      <c r="P108" s="38" t="s">
        <v>256</v>
      </c>
      <c r="Q108" s="38" t="s">
        <v>256</v>
      </c>
      <c r="R108" s="38"/>
      <c r="T108" s="4"/>
      <c r="U108" s="4"/>
    </row>
    <row r="109" spans="1:21" x14ac:dyDescent="0.2">
      <c r="A109" s="48" t="s">
        <v>279</v>
      </c>
      <c r="B109" s="52">
        <f t="shared" si="32"/>
        <v>8.8935185185186061E-2</v>
      </c>
      <c r="C109" s="52">
        <f>'[1]Day 1-F'!$C$72</f>
        <v>0.8854629629629639</v>
      </c>
      <c r="D109" s="50">
        <f t="shared" si="31"/>
        <v>6.5393518518519489E-3</v>
      </c>
      <c r="E109" s="52">
        <f t="shared" si="33"/>
        <v>0.89200231481481584</v>
      </c>
      <c r="F109" s="7" t="s">
        <v>405</v>
      </c>
      <c r="G109" s="18" t="s">
        <v>269</v>
      </c>
      <c r="H109" s="18"/>
      <c r="I109" s="18" t="s">
        <v>254</v>
      </c>
      <c r="J109" s="18" t="s">
        <v>368</v>
      </c>
      <c r="K109" s="18" t="s">
        <v>406</v>
      </c>
      <c r="L109" s="105">
        <f t="shared" si="29"/>
        <v>0.8854629629629639</v>
      </c>
      <c r="M109" s="105">
        <f t="shared" si="30"/>
        <v>0.89200231481481584</v>
      </c>
      <c r="N109" s="38"/>
      <c r="O109" s="38" t="s">
        <v>256</v>
      </c>
      <c r="P109" s="38" t="s">
        <v>256</v>
      </c>
      <c r="Q109" s="38" t="s">
        <v>256</v>
      </c>
      <c r="R109" s="38"/>
      <c r="T109" s="4"/>
      <c r="U109" s="4"/>
    </row>
    <row r="110" spans="1:21" x14ac:dyDescent="0.2">
      <c r="A110" s="48" t="s">
        <v>279</v>
      </c>
      <c r="B110" s="52">
        <f t="shared" si="32"/>
        <v>9.547453703703801E-2</v>
      </c>
      <c r="C110" s="52">
        <f>'[1]Day 1-F'!$C$76</f>
        <v>0.89200231481481584</v>
      </c>
      <c r="D110" s="50">
        <f t="shared" si="31"/>
        <v>5.2083333333333703E-3</v>
      </c>
      <c r="E110" s="52">
        <f t="shared" si="33"/>
        <v>0.89721064814814921</v>
      </c>
      <c r="F110" s="34" t="s">
        <v>407</v>
      </c>
      <c r="G110" s="18" t="s">
        <v>269</v>
      </c>
      <c r="H110" s="18"/>
      <c r="I110" s="18" t="s">
        <v>254</v>
      </c>
      <c r="J110" s="18" t="s">
        <v>368</v>
      </c>
      <c r="K110" s="18" t="s">
        <v>408</v>
      </c>
      <c r="L110" s="105">
        <f t="shared" si="29"/>
        <v>0.89200231481481584</v>
      </c>
      <c r="M110" s="105">
        <f t="shared" si="30"/>
        <v>0.89721064814814921</v>
      </c>
      <c r="N110" s="38"/>
      <c r="O110" s="38" t="s">
        <v>256</v>
      </c>
      <c r="P110" s="38" t="s">
        <v>256</v>
      </c>
      <c r="Q110" s="38" t="s">
        <v>256</v>
      </c>
      <c r="R110" s="38"/>
      <c r="T110" s="4"/>
      <c r="U110" s="4"/>
    </row>
    <row r="111" spans="1:21" x14ac:dyDescent="0.2">
      <c r="A111" s="48" t="s">
        <v>279</v>
      </c>
      <c r="B111" s="52">
        <f t="shared" si="32"/>
        <v>0.10068287037037138</v>
      </c>
      <c r="C111" s="52">
        <f>'[1]Day 1-F'!$C$77</f>
        <v>0.89721064814814921</v>
      </c>
      <c r="D111" s="50">
        <f t="shared" si="31"/>
        <v>6.2499999999999778E-3</v>
      </c>
      <c r="E111" s="52">
        <f t="shared" si="33"/>
        <v>0.90346064814814919</v>
      </c>
      <c r="F111" s="34" t="s">
        <v>409</v>
      </c>
      <c r="G111" s="18" t="s">
        <v>269</v>
      </c>
      <c r="H111" s="18"/>
      <c r="I111" s="18" t="s">
        <v>254</v>
      </c>
      <c r="J111" s="18" t="s">
        <v>368</v>
      </c>
      <c r="K111" s="18" t="s">
        <v>410</v>
      </c>
      <c r="L111" s="105">
        <f t="shared" si="29"/>
        <v>0.89721064814814921</v>
      </c>
      <c r="M111" s="105">
        <f t="shared" si="30"/>
        <v>0.90346064814814919</v>
      </c>
      <c r="N111" s="38"/>
      <c r="O111" s="38" t="s">
        <v>256</v>
      </c>
      <c r="P111" s="38" t="s">
        <v>256</v>
      </c>
      <c r="Q111" s="38" t="s">
        <v>256</v>
      </c>
      <c r="R111" s="38"/>
      <c r="T111" s="4"/>
      <c r="U111" s="4"/>
    </row>
    <row r="112" spans="1:21" x14ac:dyDescent="0.2">
      <c r="A112" s="48" t="s">
        <v>279</v>
      </c>
      <c r="B112" s="52">
        <f t="shared" si="32"/>
        <v>0.10693287037037136</v>
      </c>
      <c r="C112" s="52">
        <f>'[1]Day 1-F'!$C$78</f>
        <v>0.90346064814814919</v>
      </c>
      <c r="D112" s="50">
        <f t="shared" si="31"/>
        <v>1.0416666666667185E-3</v>
      </c>
      <c r="E112" s="52">
        <f t="shared" si="33"/>
        <v>0.90450231481481591</v>
      </c>
      <c r="F112" s="18" t="s">
        <v>357</v>
      </c>
      <c r="G112" s="18" t="s">
        <v>269</v>
      </c>
      <c r="H112" s="18"/>
      <c r="I112" s="18" t="s">
        <v>254</v>
      </c>
      <c r="J112" s="18" t="s">
        <v>368</v>
      </c>
      <c r="K112" s="37"/>
      <c r="L112" s="105">
        <f t="shared" si="29"/>
        <v>0.90346064814814919</v>
      </c>
      <c r="M112" s="105">
        <f t="shared" si="30"/>
        <v>0.90450231481481591</v>
      </c>
      <c r="N112" s="38" t="s">
        <v>255</v>
      </c>
      <c r="O112" s="38" t="s">
        <v>256</v>
      </c>
      <c r="P112" s="38" t="s">
        <v>256</v>
      </c>
      <c r="Q112" s="38" t="s">
        <v>256</v>
      </c>
      <c r="R112" s="38"/>
      <c r="T112" s="4"/>
      <c r="U112" s="4"/>
    </row>
    <row r="113" spans="1:21" x14ac:dyDescent="0.2">
      <c r="A113" s="93" t="s">
        <v>279</v>
      </c>
      <c r="B113" s="94"/>
      <c r="C113" s="94">
        <f>'[1]Day 1-F'!$C$79</f>
        <v>0.90450231481481591</v>
      </c>
      <c r="D113" s="93"/>
      <c r="E113" s="94"/>
      <c r="F113" s="20" t="s">
        <v>358</v>
      </c>
      <c r="G113" s="18"/>
      <c r="H113" s="18"/>
      <c r="I113" s="18" t="s">
        <v>254</v>
      </c>
      <c r="J113" s="18" t="s">
        <v>368</v>
      </c>
      <c r="K113" s="37"/>
      <c r="L113" s="105">
        <f t="shared" si="29"/>
        <v>0.90450231481481591</v>
      </c>
      <c r="M113" s="105"/>
      <c r="N113" s="38" t="s">
        <v>255</v>
      </c>
      <c r="O113" s="38" t="s">
        <v>256</v>
      </c>
      <c r="P113" s="38" t="s">
        <v>256</v>
      </c>
      <c r="Q113" s="38" t="s">
        <v>256</v>
      </c>
      <c r="R113" s="38" t="s">
        <v>256</v>
      </c>
      <c r="T113" s="4"/>
      <c r="U113" s="4"/>
    </row>
    <row r="114" spans="1:21" x14ac:dyDescent="0.2">
      <c r="A114" s="46"/>
      <c r="B114" s="46"/>
      <c r="C114" s="64">
        <v>0.90625</v>
      </c>
      <c r="D114" s="46"/>
      <c r="E114" s="55"/>
      <c r="F114" s="33" t="s">
        <v>62</v>
      </c>
      <c r="G114" s="45"/>
      <c r="H114" s="45"/>
      <c r="I114" s="45" t="s">
        <v>254</v>
      </c>
      <c r="J114" s="45" t="s">
        <v>368</v>
      </c>
      <c r="K114" s="45"/>
      <c r="L114" s="106">
        <f t="shared" si="29"/>
        <v>0.90625</v>
      </c>
      <c r="M114" s="106"/>
      <c r="N114" s="46"/>
      <c r="O114" s="46" t="s">
        <v>256</v>
      </c>
      <c r="P114" s="46" t="s">
        <v>256</v>
      </c>
      <c r="Q114" s="46" t="s">
        <v>256</v>
      </c>
      <c r="R114" s="46" t="s">
        <v>256</v>
      </c>
      <c r="T114" s="4"/>
      <c r="U114" s="4"/>
    </row>
    <row r="115" spans="1:21" x14ac:dyDescent="0.2">
      <c r="A115" s="48" t="s">
        <v>279</v>
      </c>
      <c r="B115" s="52">
        <f>C114-$C$89</f>
        <v>0.10972222222222217</v>
      </c>
      <c r="C115" s="52">
        <f>$C$114+TIME(0,0,0)</f>
        <v>0.90625</v>
      </c>
      <c r="D115" s="50">
        <f t="shared" si="31"/>
        <v>4.166666666666663E-2</v>
      </c>
      <c r="E115" s="52">
        <f>$C$114+TIME(1,0,0)</f>
        <v>0.94791666666666663</v>
      </c>
      <c r="F115" s="47" t="s">
        <v>359</v>
      </c>
      <c r="G115" s="18" t="s">
        <v>264</v>
      </c>
      <c r="H115" s="18"/>
      <c r="I115" s="18" t="s">
        <v>254</v>
      </c>
      <c r="J115" s="37"/>
      <c r="K115" s="37"/>
      <c r="L115" s="37"/>
      <c r="M115" s="37"/>
      <c r="N115" s="38" t="s">
        <v>255</v>
      </c>
      <c r="O115" s="38"/>
      <c r="P115" s="38"/>
      <c r="Q115" s="38"/>
      <c r="R115" s="38" t="s">
        <v>256</v>
      </c>
      <c r="T115" s="4"/>
      <c r="U115" s="4"/>
    </row>
    <row r="116" spans="1:21" x14ac:dyDescent="0.2">
      <c r="A116" s="48" t="s">
        <v>279</v>
      </c>
      <c r="B116" s="52">
        <f t="shared" ref="B116:B119" si="34">C115-$C$89</f>
        <v>0.10972222222222217</v>
      </c>
      <c r="C116" s="52">
        <v>0.9145833333333333</v>
      </c>
      <c r="D116" s="48"/>
      <c r="E116" s="52"/>
      <c r="F116" s="47" t="s">
        <v>65</v>
      </c>
      <c r="G116" s="18" t="s">
        <v>271</v>
      </c>
      <c r="H116" s="18"/>
      <c r="I116" s="18" t="s">
        <v>254</v>
      </c>
      <c r="J116" s="37"/>
      <c r="K116" s="37"/>
      <c r="L116" s="37"/>
      <c r="M116" s="37"/>
      <c r="N116" s="38" t="s">
        <v>255</v>
      </c>
      <c r="O116" s="38"/>
      <c r="P116" s="38"/>
      <c r="Q116" s="38"/>
      <c r="R116" s="38" t="s">
        <v>256</v>
      </c>
      <c r="T116" s="4"/>
      <c r="U116" s="4"/>
    </row>
    <row r="117" spans="1:21" x14ac:dyDescent="0.2">
      <c r="A117" s="48"/>
      <c r="B117" s="52">
        <f t="shared" si="34"/>
        <v>0.11805555555555547</v>
      </c>
      <c r="C117" s="52">
        <v>0.9375</v>
      </c>
      <c r="D117" s="48"/>
      <c r="E117" s="52"/>
      <c r="F117" s="62" t="s">
        <v>411</v>
      </c>
      <c r="G117" s="18" t="s">
        <v>261</v>
      </c>
      <c r="H117" s="18"/>
      <c r="I117" s="18" t="s">
        <v>254</v>
      </c>
      <c r="J117" s="37"/>
      <c r="K117" s="37"/>
      <c r="L117" s="37"/>
      <c r="M117" s="37"/>
      <c r="N117" s="38" t="s">
        <v>255</v>
      </c>
      <c r="O117" s="38"/>
      <c r="P117" s="38"/>
      <c r="Q117" s="38"/>
      <c r="R117" s="38" t="s">
        <v>256</v>
      </c>
      <c r="T117" s="4"/>
      <c r="U117" s="4"/>
    </row>
    <row r="118" spans="1:21" x14ac:dyDescent="0.2">
      <c r="A118" s="48" t="s">
        <v>279</v>
      </c>
      <c r="B118" s="52">
        <f t="shared" si="34"/>
        <v>0.14097222222222217</v>
      </c>
      <c r="C118" s="52">
        <f>$C$114+TIME(0,45,0)</f>
        <v>0.9375</v>
      </c>
      <c r="D118" s="48"/>
      <c r="E118" s="52"/>
      <c r="F118" s="18" t="s">
        <v>362</v>
      </c>
      <c r="G118" s="18" t="s">
        <v>271</v>
      </c>
      <c r="H118" s="18"/>
      <c r="I118" s="18" t="s">
        <v>254</v>
      </c>
      <c r="J118" s="37"/>
      <c r="K118" s="37"/>
      <c r="L118" s="37"/>
      <c r="M118" s="37"/>
      <c r="N118" s="38" t="s">
        <v>255</v>
      </c>
      <c r="O118" s="38"/>
      <c r="P118" s="38"/>
      <c r="Q118" s="38"/>
      <c r="R118" s="38" t="s">
        <v>256</v>
      </c>
      <c r="T118" s="4"/>
      <c r="U118" s="4"/>
    </row>
    <row r="119" spans="1:21" x14ac:dyDescent="0.2">
      <c r="A119" s="48" t="s">
        <v>279</v>
      </c>
      <c r="B119" s="52">
        <f t="shared" si="34"/>
        <v>0.14097222222222217</v>
      </c>
      <c r="C119" s="52">
        <f>$C$114+TIME(1,20,0)</f>
        <v>0.96180555555555558</v>
      </c>
      <c r="D119" s="48"/>
      <c r="E119" s="52"/>
      <c r="F119" s="47" t="s">
        <v>412</v>
      </c>
      <c r="G119" s="18"/>
      <c r="H119" s="18"/>
      <c r="I119" s="18" t="s">
        <v>254</v>
      </c>
      <c r="J119" s="37"/>
      <c r="K119" s="37"/>
      <c r="L119" s="37"/>
      <c r="M119" s="37"/>
      <c r="N119" s="38" t="s">
        <v>255</v>
      </c>
      <c r="O119" s="38"/>
      <c r="P119" s="38"/>
      <c r="Q119" s="38"/>
      <c r="R119" s="38"/>
      <c r="T119" s="4"/>
      <c r="U119" s="4"/>
    </row>
    <row r="120" spans="1:21" x14ac:dyDescent="0.2">
      <c r="A120" s="48" t="s">
        <v>279</v>
      </c>
      <c r="B120" s="52">
        <f>C119-$C$89</f>
        <v>0.16527777777777775</v>
      </c>
      <c r="C120" s="52">
        <f>$C$114+TIME(1,30,0)</f>
        <v>0.96875</v>
      </c>
      <c r="D120" s="48"/>
      <c r="E120" s="52"/>
      <c r="F120" s="20" t="s">
        <v>67</v>
      </c>
      <c r="G120" s="18"/>
      <c r="H120" s="18"/>
      <c r="I120" s="18" t="s">
        <v>254</v>
      </c>
      <c r="J120" s="37"/>
      <c r="K120" s="37"/>
      <c r="L120" s="37"/>
      <c r="M120" s="37"/>
      <c r="N120" s="38" t="s">
        <v>255</v>
      </c>
      <c r="O120" s="38"/>
      <c r="P120" s="38"/>
      <c r="Q120" s="38"/>
      <c r="R120" s="38" t="s">
        <v>256</v>
      </c>
      <c r="T120" s="4"/>
      <c r="U120" s="4"/>
    </row>
    <row r="121" spans="1:21" x14ac:dyDescent="0.2">
      <c r="A121" s="48" t="s">
        <v>279</v>
      </c>
      <c r="B121" s="52">
        <f t="shared" ref="B121:B124" si="35">C120-$C$89</f>
        <v>0.17222222222222217</v>
      </c>
      <c r="C121" s="52">
        <v>0.97916666666666663</v>
      </c>
      <c r="D121" s="48"/>
      <c r="E121" s="52"/>
      <c r="F121" s="47" t="s">
        <v>361</v>
      </c>
      <c r="G121" s="18"/>
      <c r="H121" s="18"/>
      <c r="I121" s="18" t="s">
        <v>254</v>
      </c>
      <c r="J121" s="37"/>
      <c r="K121" s="37"/>
      <c r="L121" s="37"/>
      <c r="M121" s="37"/>
      <c r="N121" s="38" t="s">
        <v>255</v>
      </c>
      <c r="O121" s="38"/>
      <c r="P121" s="38"/>
      <c r="Q121" s="38"/>
      <c r="R121" s="38"/>
      <c r="T121" s="4"/>
      <c r="U121" s="4"/>
    </row>
    <row r="122" spans="1:21" x14ac:dyDescent="0.2">
      <c r="A122" s="48" t="s">
        <v>279</v>
      </c>
      <c r="B122" s="52">
        <f t="shared" si="35"/>
        <v>0.1826388888888888</v>
      </c>
      <c r="C122" s="98">
        <v>0.98958333333333337</v>
      </c>
      <c r="D122" s="48"/>
      <c r="E122" s="52"/>
      <c r="F122" s="47" t="s">
        <v>413</v>
      </c>
      <c r="G122" s="18"/>
      <c r="H122" s="18"/>
      <c r="I122" s="18" t="s">
        <v>254</v>
      </c>
      <c r="J122" s="37"/>
      <c r="K122" s="37"/>
      <c r="L122" s="37"/>
      <c r="M122" s="37"/>
      <c r="N122" s="38" t="s">
        <v>255</v>
      </c>
      <c r="O122" s="38"/>
      <c r="P122" s="38"/>
      <c r="Q122" s="38"/>
      <c r="R122" s="38"/>
      <c r="T122" s="4"/>
      <c r="U122" s="4"/>
    </row>
    <row r="123" spans="1:21" x14ac:dyDescent="0.2">
      <c r="A123" s="48" t="s">
        <v>279</v>
      </c>
      <c r="B123" s="52">
        <f t="shared" si="35"/>
        <v>0.19305555555555554</v>
      </c>
      <c r="C123" s="52">
        <v>1</v>
      </c>
      <c r="D123" s="48"/>
      <c r="E123" s="52"/>
      <c r="F123" s="18" t="s">
        <v>414</v>
      </c>
      <c r="G123" s="18"/>
      <c r="H123" s="18"/>
      <c r="I123" s="18" t="s">
        <v>254</v>
      </c>
      <c r="J123" s="37"/>
      <c r="K123" s="37"/>
      <c r="L123" s="37"/>
      <c r="M123" s="37"/>
      <c r="N123" s="38" t="s">
        <v>255</v>
      </c>
      <c r="O123" s="38"/>
      <c r="P123" s="38"/>
      <c r="Q123" s="38"/>
      <c r="R123" s="38" t="s">
        <v>256</v>
      </c>
      <c r="T123" s="4"/>
      <c r="U123" s="4"/>
    </row>
    <row r="124" spans="1:21" x14ac:dyDescent="0.2">
      <c r="A124" s="48" t="s">
        <v>279</v>
      </c>
      <c r="B124" s="52">
        <f t="shared" si="35"/>
        <v>0.20347222222222217</v>
      </c>
      <c r="C124" s="52">
        <v>2.0833333333333332E-2</v>
      </c>
      <c r="D124" s="48"/>
      <c r="E124" s="52"/>
      <c r="F124" s="18" t="s">
        <v>415</v>
      </c>
      <c r="G124" s="18"/>
      <c r="H124" s="18"/>
      <c r="I124" s="18" t="s">
        <v>254</v>
      </c>
      <c r="J124" s="37"/>
      <c r="K124" s="37"/>
      <c r="L124" s="37"/>
      <c r="M124" s="37"/>
      <c r="N124" s="38" t="s">
        <v>255</v>
      </c>
      <c r="O124" s="38"/>
      <c r="P124" s="38"/>
      <c r="Q124" s="38"/>
      <c r="R124" s="38" t="s">
        <v>256</v>
      </c>
      <c r="T124" s="4"/>
      <c r="U124" s="4"/>
    </row>
    <row r="125" spans="1:21" x14ac:dyDescent="0.2">
      <c r="T125" s="4"/>
      <c r="U125" s="4"/>
    </row>
    <row r="126" spans="1:21" x14ac:dyDescent="0.2">
      <c r="T126" s="4"/>
      <c r="U126" s="4"/>
    </row>
    <row r="127" spans="1:21" x14ac:dyDescent="0.2">
      <c r="T127" s="4"/>
      <c r="U127" s="4"/>
    </row>
    <row r="128" spans="1:21" x14ac:dyDescent="0.2">
      <c r="T128" s="4"/>
      <c r="U128" s="4"/>
    </row>
    <row r="129" spans="2:21" x14ac:dyDescent="0.2">
      <c r="T129" s="4"/>
      <c r="U129" s="4"/>
    </row>
    <row r="130" spans="2:21" x14ac:dyDescent="0.2">
      <c r="B130" s="68"/>
      <c r="C130" s="67"/>
      <c r="D130" s="68"/>
      <c r="E130" s="67"/>
      <c r="T130" s="4"/>
      <c r="U130" s="4"/>
    </row>
    <row r="131" spans="2:21" x14ac:dyDescent="0.2">
      <c r="B131" s="68"/>
      <c r="C131" s="67"/>
      <c r="D131" s="68"/>
      <c r="E131" s="67"/>
      <c r="T131" s="4"/>
      <c r="U131" s="4"/>
    </row>
    <row r="132" spans="2:21" x14ac:dyDescent="0.2">
      <c r="B132" s="68"/>
      <c r="C132" s="67"/>
      <c r="D132" s="68"/>
      <c r="E132" s="67"/>
      <c r="T132" s="4"/>
      <c r="U132" s="4"/>
    </row>
    <row r="133" spans="2:21" x14ac:dyDescent="0.2">
      <c r="B133" s="68"/>
      <c r="C133" s="67"/>
      <c r="D133" s="68"/>
      <c r="E133" s="67"/>
      <c r="T133" s="4"/>
      <c r="U133" s="4"/>
    </row>
    <row r="134" spans="2:21" x14ac:dyDescent="0.2">
      <c r="B134" s="68"/>
      <c r="C134" s="67"/>
      <c r="D134" s="68"/>
      <c r="E134" s="67"/>
      <c r="T134" s="4"/>
      <c r="U134" s="4"/>
    </row>
    <row r="135" spans="2:21" x14ac:dyDescent="0.2">
      <c r="B135" s="68"/>
      <c r="C135" s="67"/>
      <c r="D135" s="68"/>
      <c r="E135" s="67"/>
      <c r="T135" s="4"/>
      <c r="U135" s="4"/>
    </row>
    <row r="136" spans="2:21" x14ac:dyDescent="0.2">
      <c r="T136" s="4"/>
      <c r="U136" s="4"/>
    </row>
    <row r="137" spans="2:21" x14ac:dyDescent="0.2">
      <c r="T137" s="4"/>
      <c r="U137" s="4"/>
    </row>
    <row r="138" spans="2:21" x14ac:dyDescent="0.2">
      <c r="T138" s="4"/>
      <c r="U138" s="4"/>
    </row>
    <row r="139" spans="2:21" x14ac:dyDescent="0.2">
      <c r="T139" s="4"/>
      <c r="U139" s="4"/>
    </row>
    <row r="140" spans="2:21" x14ac:dyDescent="0.2">
      <c r="T140" s="4"/>
      <c r="U140" s="4"/>
    </row>
    <row r="141" spans="2:21" x14ac:dyDescent="0.2">
      <c r="T141" s="4"/>
      <c r="U141" s="4"/>
    </row>
    <row r="142" spans="2:21" x14ac:dyDescent="0.2">
      <c r="T142" s="4"/>
      <c r="U142" s="4"/>
    </row>
    <row r="143" spans="2:21" x14ac:dyDescent="0.2">
      <c r="T143" s="4"/>
      <c r="U143" s="4"/>
    </row>
    <row r="144" spans="2:21" x14ac:dyDescent="0.2">
      <c r="T144" s="4"/>
      <c r="U144" s="4"/>
    </row>
    <row r="145" spans="20:21" x14ac:dyDescent="0.2">
      <c r="T145" s="4"/>
      <c r="U145" s="4"/>
    </row>
    <row r="146" spans="20:21" x14ac:dyDescent="0.2">
      <c r="T146" s="4"/>
      <c r="U146" s="4"/>
    </row>
    <row r="147" spans="20:21" x14ac:dyDescent="0.2">
      <c r="T147" s="4"/>
      <c r="U147" s="4"/>
    </row>
    <row r="148" spans="20:21" x14ac:dyDescent="0.2">
      <c r="T148" s="4"/>
      <c r="U148" s="4"/>
    </row>
    <row r="149" spans="20:21" x14ac:dyDescent="0.2">
      <c r="T149" s="4"/>
      <c r="U149" s="4"/>
    </row>
    <row r="150" spans="20:21" x14ac:dyDescent="0.2">
      <c r="T150" s="4"/>
      <c r="U150" s="4"/>
    </row>
    <row r="151" spans="20:21" x14ac:dyDescent="0.2">
      <c r="T151" s="4"/>
      <c r="U151" s="4"/>
    </row>
    <row r="152" spans="20:21" x14ac:dyDescent="0.2">
      <c r="T152" s="4"/>
      <c r="U152" s="4"/>
    </row>
    <row r="153" spans="20:21" x14ac:dyDescent="0.2">
      <c r="T153" s="4"/>
      <c r="U153" s="4"/>
    </row>
    <row r="154" spans="20:21" x14ac:dyDescent="0.2">
      <c r="T154" s="4"/>
      <c r="U154" s="4"/>
    </row>
    <row r="155" spans="20:21" x14ac:dyDescent="0.2">
      <c r="T155" s="4"/>
      <c r="U155" s="4"/>
    </row>
  </sheetData>
  <sheetProtection selectLockedCells="1"/>
  <autoFilter ref="B3:R124" xr:uid="{7C6FC6D5-AAC8-4523-858D-0892689D2677}"/>
  <mergeCells count="9">
    <mergeCell ref="B1:R1"/>
    <mergeCell ref="K2:N2"/>
    <mergeCell ref="F2:F3"/>
    <mergeCell ref="H2:H3"/>
    <mergeCell ref="O2:R2"/>
    <mergeCell ref="I2:I3"/>
    <mergeCell ref="G2:G3"/>
    <mergeCell ref="J2:J3"/>
    <mergeCell ref="A2:E2"/>
  </mergeCells>
  <phoneticPr fontId="2" type="noConversion"/>
  <dataValidations count="1">
    <dataValidation type="list" allowBlank="1" showInputMessage="1" showErrorMessage="1" sqref="T3" xr:uid="{23846F66-9DF8-4B76-922E-E8A5AC75A2E2}">
      <formula1>"SCM,BRD,CER"</formula1>
    </dataValidation>
  </dataValidations>
  <pageMargins left="0.7" right="0.7" top="0.75" bottom="0.75" header="0.3" footer="0.3"/>
  <pageSetup paperSize="8" scale="66" fitToHeight="0" orientation="landscape" r:id="rId1"/>
  <headerFooter>
    <oddHeader>&amp;C&amp;"Calibri"&amp;10&amp;K000000 Official&amp;1#_x000D_</oddHeader>
    <oddFooter>&amp;C_x000D_&amp;1#&amp;"Calibri"&amp;10&amp;K000000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09D2-2689-462B-A246-6219D807EADA}">
  <sheetPr>
    <tabColor rgb="FF00B0F0"/>
    <pageSetUpPr fitToPage="1"/>
  </sheetPr>
  <dimension ref="A1:V147"/>
  <sheetViews>
    <sheetView topLeftCell="F1" zoomScale="80" zoomScaleNormal="80" workbookViewId="0">
      <selection activeCell="V10" sqref="V10"/>
    </sheetView>
  </sheetViews>
  <sheetFormatPr defaultColWidth="8.875" defaultRowHeight="14.25" x14ac:dyDescent="0.2"/>
  <cols>
    <col min="1" max="1" width="8.625" style="2" customWidth="1"/>
    <col min="2" max="2" width="9.625" style="2" customWidth="1"/>
    <col min="3" max="3" width="9.625" style="56" customWidth="1"/>
    <col min="4" max="4" width="9.625" style="2" customWidth="1"/>
    <col min="5" max="5" width="9.625" style="56" customWidth="1"/>
    <col min="6" max="6" width="60.625" customWidth="1"/>
    <col min="7" max="7" width="17.125" customWidth="1"/>
    <col min="8" max="8" width="18.125" customWidth="1"/>
    <col min="9" max="9" width="10.125" customWidth="1"/>
    <col min="10" max="10" width="15.125" customWidth="1"/>
    <col min="11" max="11" width="39" bestFit="1" customWidth="1"/>
    <col min="12" max="13" width="11.625" customWidth="1"/>
    <col min="14" max="14" width="11.625" style="2" customWidth="1"/>
    <col min="15" max="18" width="8.875" style="2"/>
    <col min="22" max="22" width="8.875" style="5"/>
    <col min="23" max="23" width="16.125" bestFit="1" customWidth="1"/>
    <col min="25" max="25" width="15.125" customWidth="1"/>
  </cols>
  <sheetData>
    <row r="1" spans="1:22" ht="18" x14ac:dyDescent="0.25">
      <c r="A1" s="38"/>
      <c r="B1" s="118" t="s">
        <v>416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V1" s="5" t="s">
        <v>417</v>
      </c>
    </row>
    <row r="2" spans="1:22" x14ac:dyDescent="0.2">
      <c r="A2" s="121" t="s">
        <v>250</v>
      </c>
      <c r="B2" s="121"/>
      <c r="C2" s="121"/>
      <c r="D2" s="121"/>
      <c r="E2" s="121"/>
      <c r="F2" s="119" t="s">
        <v>10</v>
      </c>
      <c r="G2" s="119" t="s">
        <v>11</v>
      </c>
      <c r="H2" s="119" t="s">
        <v>13</v>
      </c>
      <c r="I2" s="120" t="s">
        <v>15</v>
      </c>
      <c r="J2" s="119" t="s">
        <v>17</v>
      </c>
      <c r="K2" s="119" t="s">
        <v>26</v>
      </c>
      <c r="L2" s="119"/>
      <c r="M2" s="119"/>
      <c r="N2" s="119"/>
      <c r="O2" s="119" t="s">
        <v>34</v>
      </c>
      <c r="P2" s="119"/>
      <c r="Q2" s="119"/>
      <c r="R2" s="119"/>
    </row>
    <row r="3" spans="1:22" x14ac:dyDescent="0.2">
      <c r="A3" s="29" t="s">
        <v>0</v>
      </c>
      <c r="B3" s="29" t="s">
        <v>2</v>
      </c>
      <c r="C3" s="51" t="s">
        <v>4</v>
      </c>
      <c r="D3" s="29" t="s">
        <v>6</v>
      </c>
      <c r="E3" s="51" t="s">
        <v>8</v>
      </c>
      <c r="F3" s="119"/>
      <c r="G3" s="119"/>
      <c r="H3" s="119"/>
      <c r="I3" s="120"/>
      <c r="J3" s="119"/>
      <c r="K3" s="7" t="s">
        <v>27</v>
      </c>
      <c r="L3" s="7" t="s">
        <v>4</v>
      </c>
      <c r="M3" s="7" t="s">
        <v>30</v>
      </c>
      <c r="N3" s="28" t="s">
        <v>32</v>
      </c>
      <c r="O3" s="28" t="s">
        <v>35</v>
      </c>
      <c r="P3" s="28" t="s">
        <v>37</v>
      </c>
      <c r="Q3" s="28" t="s">
        <v>39</v>
      </c>
      <c r="R3" s="28" t="s">
        <v>41</v>
      </c>
      <c r="T3" s="3" t="s">
        <v>251</v>
      </c>
    </row>
    <row r="4" spans="1:22" ht="14.25" customHeight="1" x14ac:dyDescent="0.2">
      <c r="A4" s="48" t="s">
        <v>252</v>
      </c>
      <c r="B4" s="48"/>
      <c r="C4" s="52">
        <f>$C$26-TIME(5,30,0)</f>
        <v>0.20833333333333334</v>
      </c>
      <c r="D4" s="52"/>
      <c r="E4" s="52"/>
      <c r="F4" s="36" t="s">
        <v>253</v>
      </c>
      <c r="G4" s="18"/>
      <c r="H4" s="18"/>
      <c r="I4" s="18" t="s">
        <v>254</v>
      </c>
      <c r="J4" s="37"/>
      <c r="K4" s="37"/>
      <c r="L4" s="37"/>
      <c r="M4" s="37"/>
      <c r="N4" s="38"/>
      <c r="O4" s="38"/>
      <c r="P4" s="38"/>
      <c r="Q4" s="38"/>
      <c r="R4" s="38" t="s">
        <v>256</v>
      </c>
    </row>
    <row r="5" spans="1:22" ht="14.25" customHeight="1" x14ac:dyDescent="0.2">
      <c r="A5" s="48" t="s">
        <v>252</v>
      </c>
      <c r="B5" s="48"/>
      <c r="C5" s="52">
        <f>$C$26-TIME(5,15,0)</f>
        <v>0.21875</v>
      </c>
      <c r="D5" s="52">
        <f>E5-C5</f>
        <v>2.0833333333333343E-2</v>
      </c>
      <c r="E5" s="52">
        <v>0.23958333333333334</v>
      </c>
      <c r="F5" s="39" t="s">
        <v>257</v>
      </c>
      <c r="G5" s="18"/>
      <c r="H5" s="18"/>
      <c r="I5" s="18" t="s">
        <v>254</v>
      </c>
      <c r="J5" s="37"/>
      <c r="K5" s="37"/>
      <c r="L5" s="37"/>
      <c r="M5" s="37"/>
      <c r="N5" s="38"/>
      <c r="O5" s="38"/>
      <c r="P5" s="38"/>
      <c r="Q5" s="38"/>
      <c r="R5" s="38"/>
    </row>
    <row r="6" spans="1:22" x14ac:dyDescent="0.2">
      <c r="A6" s="48" t="s">
        <v>252</v>
      </c>
      <c r="B6" s="48"/>
      <c r="C6" s="52">
        <v>0.25</v>
      </c>
      <c r="D6" s="52">
        <f>E6-C6</f>
        <v>0.75</v>
      </c>
      <c r="E6" s="52">
        <v>1</v>
      </c>
      <c r="F6" s="36" t="s">
        <v>258</v>
      </c>
      <c r="G6" s="18"/>
      <c r="H6" s="18"/>
      <c r="I6" s="18" t="s">
        <v>254</v>
      </c>
      <c r="J6" s="37"/>
      <c r="K6" s="37"/>
      <c r="L6" s="37"/>
      <c r="M6" s="37"/>
      <c r="N6" s="38"/>
      <c r="O6" s="38"/>
      <c r="P6" s="38"/>
      <c r="Q6" s="38"/>
      <c r="R6" s="38" t="s">
        <v>256</v>
      </c>
      <c r="T6" s="4"/>
      <c r="U6" s="4"/>
      <c r="V6" s="6"/>
    </row>
    <row r="7" spans="1:22" x14ac:dyDescent="0.2">
      <c r="A7" s="48" t="s">
        <v>252</v>
      </c>
      <c r="B7" s="48"/>
      <c r="C7" s="52">
        <v>0.25694444444444448</v>
      </c>
      <c r="D7" s="52"/>
      <c r="E7" s="52"/>
      <c r="F7" s="18" t="s">
        <v>259</v>
      </c>
      <c r="G7" s="18"/>
      <c r="H7" s="18"/>
      <c r="I7" s="18" t="s">
        <v>254</v>
      </c>
      <c r="J7" s="37"/>
      <c r="K7" s="37"/>
      <c r="L7" s="37"/>
      <c r="M7" s="37"/>
      <c r="N7" s="38"/>
      <c r="O7" s="38"/>
      <c r="P7" s="38"/>
      <c r="Q7" s="38"/>
      <c r="R7" s="38" t="s">
        <v>256</v>
      </c>
      <c r="T7" s="4"/>
      <c r="U7" s="4"/>
      <c r="V7" s="6"/>
    </row>
    <row r="8" spans="1:22" x14ac:dyDescent="0.2">
      <c r="A8" s="48" t="s">
        <v>252</v>
      </c>
      <c r="B8" s="48"/>
      <c r="C8" s="52">
        <v>0.27083333333333331</v>
      </c>
      <c r="D8" s="52">
        <f>E8-C8</f>
        <v>0.66666666666666674</v>
      </c>
      <c r="E8" s="52">
        <v>0.9375</v>
      </c>
      <c r="F8" s="62" t="s">
        <v>260</v>
      </c>
      <c r="G8" s="18" t="s">
        <v>261</v>
      </c>
      <c r="H8" s="18"/>
      <c r="I8" s="18" t="s">
        <v>254</v>
      </c>
      <c r="J8" s="37"/>
      <c r="K8" s="37"/>
      <c r="L8" s="37"/>
      <c r="M8" s="37"/>
      <c r="N8" s="38"/>
      <c r="O8" s="38"/>
      <c r="P8" s="38"/>
      <c r="Q8" s="38"/>
      <c r="R8" s="38" t="s">
        <v>256</v>
      </c>
      <c r="T8" s="4"/>
      <c r="U8" s="4"/>
    </row>
    <row r="9" spans="1:22" x14ac:dyDescent="0.2">
      <c r="A9" s="48" t="s">
        <v>252</v>
      </c>
      <c r="B9" s="48"/>
      <c r="C9" s="52">
        <f>$C$26-TIME(3,30,0)</f>
        <v>0.29166666666666663</v>
      </c>
      <c r="D9" s="52"/>
      <c r="E9" s="52"/>
      <c r="F9" s="69" t="s">
        <v>262</v>
      </c>
      <c r="G9" s="18"/>
      <c r="H9" s="18"/>
      <c r="I9" s="18" t="s">
        <v>254</v>
      </c>
      <c r="J9" s="37"/>
      <c r="K9" s="37"/>
      <c r="L9" s="37"/>
      <c r="M9" s="37"/>
      <c r="N9" s="38"/>
      <c r="O9" s="38"/>
      <c r="P9" s="38"/>
      <c r="Q9" s="38"/>
      <c r="R9" s="38"/>
      <c r="T9" s="4"/>
      <c r="U9" s="4"/>
    </row>
    <row r="10" spans="1:22" x14ac:dyDescent="0.2">
      <c r="A10" s="48" t="s">
        <v>252</v>
      </c>
      <c r="B10" s="48"/>
      <c r="C10" s="52">
        <v>0.29166666666666669</v>
      </c>
      <c r="D10" s="52">
        <f>E10-C10</f>
        <v>0.43749999999999994</v>
      </c>
      <c r="E10" s="52">
        <f>$C$65+TIME(1,0,0)</f>
        <v>0.72916666666666663</v>
      </c>
      <c r="F10" s="18" t="s">
        <v>263</v>
      </c>
      <c r="G10" s="18" t="s">
        <v>264</v>
      </c>
      <c r="H10" s="18"/>
      <c r="I10" s="18" t="s">
        <v>254</v>
      </c>
      <c r="J10" s="37"/>
      <c r="K10" s="37"/>
      <c r="L10" s="37"/>
      <c r="M10" s="37"/>
      <c r="N10" s="38"/>
      <c r="O10" s="38" t="s">
        <v>256</v>
      </c>
      <c r="P10" s="38"/>
      <c r="Q10" s="38"/>
      <c r="R10" s="38" t="s">
        <v>256</v>
      </c>
      <c r="T10" s="4"/>
      <c r="U10" s="4"/>
    </row>
    <row r="11" spans="1:22" x14ac:dyDescent="0.2">
      <c r="A11" s="48" t="s">
        <v>252</v>
      </c>
      <c r="B11" s="48"/>
      <c r="C11" s="52">
        <v>0.29166666666666669</v>
      </c>
      <c r="D11" s="52">
        <f>E11-C11</f>
        <v>0.10416666666666663</v>
      </c>
      <c r="E11" s="52">
        <v>0.39583333333333331</v>
      </c>
      <c r="F11" s="62" t="s">
        <v>265</v>
      </c>
      <c r="G11" s="18" t="s">
        <v>266</v>
      </c>
      <c r="H11" s="18"/>
      <c r="I11" s="18" t="s">
        <v>254</v>
      </c>
      <c r="J11" s="37"/>
      <c r="K11" s="37"/>
      <c r="L11" s="37"/>
      <c r="M11" s="37"/>
      <c r="N11" s="38"/>
      <c r="O11" s="38" t="s">
        <v>256</v>
      </c>
      <c r="P11" s="38"/>
      <c r="Q11" s="38"/>
      <c r="R11" s="38" t="s">
        <v>256</v>
      </c>
      <c r="T11" s="4"/>
      <c r="U11" s="4"/>
    </row>
    <row r="12" spans="1:22" ht="14.25" customHeight="1" x14ac:dyDescent="0.2">
      <c r="A12" s="48" t="s">
        <v>252</v>
      </c>
      <c r="B12" s="48"/>
      <c r="C12" s="52">
        <f>$C$26-TIME(2,30,0)</f>
        <v>0.33333333333333331</v>
      </c>
      <c r="D12" s="52"/>
      <c r="E12" s="52"/>
      <c r="F12" s="69" t="s">
        <v>267</v>
      </c>
      <c r="G12" s="18"/>
      <c r="H12" s="18"/>
      <c r="I12" s="18" t="s">
        <v>254</v>
      </c>
      <c r="J12" s="37"/>
      <c r="K12" s="37"/>
      <c r="L12" s="37"/>
      <c r="M12" s="37"/>
      <c r="N12" s="38"/>
      <c r="O12" s="38"/>
      <c r="P12" s="38"/>
      <c r="Q12" s="38"/>
      <c r="R12" s="38"/>
      <c r="T12" s="4"/>
      <c r="U12" s="4"/>
    </row>
    <row r="13" spans="1:22" x14ac:dyDescent="0.2">
      <c r="A13" s="48" t="s">
        <v>252</v>
      </c>
      <c r="B13" s="48"/>
      <c r="C13" s="52">
        <f>$C$26-TIME(2,30,0)</f>
        <v>0.33333333333333331</v>
      </c>
      <c r="D13" s="52">
        <f>E13-C13</f>
        <v>9.375E-2</v>
      </c>
      <c r="E13" s="52">
        <f>$C$26-TIME(0,15,0)</f>
        <v>0.42708333333333331</v>
      </c>
      <c r="F13" s="18" t="s">
        <v>268</v>
      </c>
      <c r="G13" s="18" t="s">
        <v>269</v>
      </c>
      <c r="H13" s="18"/>
      <c r="I13" s="18" t="s">
        <v>254</v>
      </c>
      <c r="J13" s="37"/>
      <c r="K13" s="37"/>
      <c r="L13" s="37"/>
      <c r="M13" s="37"/>
      <c r="N13" s="38"/>
      <c r="O13" s="38" t="s">
        <v>256</v>
      </c>
      <c r="P13" s="38"/>
      <c r="Q13" s="38"/>
      <c r="R13" s="38" t="s">
        <v>256</v>
      </c>
      <c r="T13" s="4"/>
      <c r="U13" s="4"/>
      <c r="V13" s="6"/>
    </row>
    <row r="14" spans="1:22" x14ac:dyDescent="0.2">
      <c r="A14" s="48" t="s">
        <v>252</v>
      </c>
      <c r="B14" s="48"/>
      <c r="C14" s="52">
        <f>$C$26-TIME(2,0,0)</f>
        <v>0.35416666666666669</v>
      </c>
      <c r="D14" s="52"/>
      <c r="E14" s="52"/>
      <c r="F14" s="92" t="s">
        <v>53</v>
      </c>
      <c r="G14" s="18"/>
      <c r="H14" s="18"/>
      <c r="I14" s="18" t="s">
        <v>254</v>
      </c>
      <c r="J14" s="37"/>
      <c r="K14" s="37"/>
      <c r="L14" s="37"/>
      <c r="M14" s="37"/>
      <c r="N14" s="38"/>
      <c r="O14" s="38"/>
      <c r="P14" s="38"/>
      <c r="Q14" s="38"/>
      <c r="R14" s="38"/>
      <c r="T14" s="4"/>
      <c r="U14" s="4"/>
    </row>
    <row r="15" spans="1:22" x14ac:dyDescent="0.2">
      <c r="A15" s="48" t="s">
        <v>252</v>
      </c>
      <c r="B15" s="48"/>
      <c r="C15" s="52">
        <f>$C$26-TIME(2,0,0)</f>
        <v>0.35416666666666669</v>
      </c>
      <c r="D15" s="52"/>
      <c r="E15" s="52"/>
      <c r="F15" s="18" t="s">
        <v>270</v>
      </c>
      <c r="G15" s="18" t="s">
        <v>271</v>
      </c>
      <c r="H15" s="18"/>
      <c r="I15" s="18" t="s">
        <v>254</v>
      </c>
      <c r="J15" s="37"/>
      <c r="K15" s="37"/>
      <c r="L15" s="37"/>
      <c r="M15" s="37"/>
      <c r="N15" s="38"/>
      <c r="O15" s="38"/>
      <c r="P15" s="38"/>
      <c r="Q15" s="38"/>
      <c r="R15" s="38" t="s">
        <v>256</v>
      </c>
      <c r="T15" s="4"/>
      <c r="U15" s="4"/>
      <c r="V15" s="6"/>
    </row>
    <row r="16" spans="1:22" x14ac:dyDescent="0.2">
      <c r="A16" s="48" t="s">
        <v>252</v>
      </c>
      <c r="B16" s="48"/>
      <c r="C16" s="52">
        <f>$C$26-TIME(1,30,0)</f>
        <v>0.375</v>
      </c>
      <c r="D16" s="52">
        <v>6.25E-2</v>
      </c>
      <c r="E16" s="52">
        <f>$C$26-TIME(0,0,0)</f>
        <v>0.4375</v>
      </c>
      <c r="F16" s="69" t="s">
        <v>55</v>
      </c>
      <c r="G16" s="18" t="s">
        <v>39</v>
      </c>
      <c r="H16" s="18"/>
      <c r="I16" s="18" t="s">
        <v>254</v>
      </c>
      <c r="J16" s="37"/>
      <c r="K16" s="37"/>
      <c r="L16" s="37"/>
      <c r="M16" s="37"/>
      <c r="N16" s="38"/>
      <c r="O16" s="38" t="s">
        <v>256</v>
      </c>
      <c r="P16" s="38"/>
      <c r="Q16" s="38" t="s">
        <v>256</v>
      </c>
      <c r="R16" s="38" t="s">
        <v>256</v>
      </c>
      <c r="T16" s="4"/>
      <c r="U16" s="4"/>
    </row>
    <row r="17" spans="1:21" x14ac:dyDescent="0.2">
      <c r="A17" s="48" t="s">
        <v>252</v>
      </c>
      <c r="B17" s="48"/>
      <c r="C17" s="52">
        <f>$C$26-TIME(1,15,0)</f>
        <v>0.38541666666666669</v>
      </c>
      <c r="D17" s="52"/>
      <c r="E17" s="52"/>
      <c r="F17" s="18" t="s">
        <v>272</v>
      </c>
      <c r="G17" s="18" t="s">
        <v>271</v>
      </c>
      <c r="H17" s="18"/>
      <c r="I17" s="18" t="s">
        <v>254</v>
      </c>
      <c r="J17" s="37"/>
      <c r="K17" s="37"/>
      <c r="L17" s="37"/>
      <c r="M17" s="37"/>
      <c r="N17" s="38"/>
      <c r="O17" s="38"/>
      <c r="P17" s="38"/>
      <c r="Q17" s="38"/>
      <c r="R17" s="38" t="s">
        <v>256</v>
      </c>
      <c r="T17" s="4"/>
      <c r="U17" s="4"/>
    </row>
    <row r="18" spans="1:21" x14ac:dyDescent="0.2">
      <c r="A18" s="48" t="s">
        <v>252</v>
      </c>
      <c r="B18" s="48"/>
      <c r="C18" s="52">
        <f>$C$26-TIME(1,0,0)</f>
        <v>0.39583333333333331</v>
      </c>
      <c r="D18" s="52">
        <f>E18-C18</f>
        <v>2.083333333333337E-2</v>
      </c>
      <c r="E18" s="52">
        <v>0.41666666666666669</v>
      </c>
      <c r="F18" s="18" t="s">
        <v>52</v>
      </c>
      <c r="G18" s="18" t="s">
        <v>271</v>
      </c>
      <c r="H18" s="18"/>
      <c r="I18" s="18" t="s">
        <v>254</v>
      </c>
      <c r="J18" s="37"/>
      <c r="K18" s="37"/>
      <c r="L18" s="37"/>
      <c r="M18" s="37"/>
      <c r="N18" s="38"/>
      <c r="O18" s="38"/>
      <c r="P18" s="38"/>
      <c r="Q18" s="38"/>
      <c r="R18" s="38"/>
      <c r="T18" s="4"/>
      <c r="U18" s="4"/>
    </row>
    <row r="19" spans="1:21" x14ac:dyDescent="0.2">
      <c r="A19" s="48" t="s">
        <v>252</v>
      </c>
      <c r="B19" s="48"/>
      <c r="C19" s="52">
        <v>0.39583333333333331</v>
      </c>
      <c r="D19" s="52"/>
      <c r="E19" s="52"/>
      <c r="F19" s="62" t="s">
        <v>273</v>
      </c>
      <c r="G19" s="18" t="s">
        <v>266</v>
      </c>
      <c r="H19" s="18"/>
      <c r="I19" s="18" t="s">
        <v>254</v>
      </c>
      <c r="J19" s="37"/>
      <c r="K19" s="37"/>
      <c r="L19" s="37"/>
      <c r="M19" s="37"/>
      <c r="N19" s="38"/>
      <c r="O19" s="38" t="s">
        <v>256</v>
      </c>
      <c r="P19" s="38"/>
      <c r="Q19" s="38" t="s">
        <v>256</v>
      </c>
      <c r="R19" s="38" t="s">
        <v>256</v>
      </c>
      <c r="T19" s="4"/>
      <c r="U19" s="4"/>
    </row>
    <row r="20" spans="1:21" x14ac:dyDescent="0.2">
      <c r="A20" s="48" t="s">
        <v>252</v>
      </c>
      <c r="B20" s="48"/>
      <c r="C20" s="52">
        <f>$C$26-TIME(0,15,0)</f>
        <v>0.42708333333333331</v>
      </c>
      <c r="D20" s="52"/>
      <c r="E20" s="52"/>
      <c r="F20" s="18" t="s">
        <v>274</v>
      </c>
      <c r="G20" s="18" t="s">
        <v>269</v>
      </c>
      <c r="H20" s="18"/>
      <c r="I20" s="18" t="s">
        <v>254</v>
      </c>
      <c r="J20" s="37"/>
      <c r="K20" s="37"/>
      <c r="L20" s="37"/>
      <c r="M20" s="37"/>
      <c r="N20" s="38"/>
      <c r="O20" s="38" t="s">
        <v>256</v>
      </c>
      <c r="P20" s="38"/>
      <c r="Q20" s="38" t="s">
        <v>256</v>
      </c>
      <c r="R20" s="38" t="s">
        <v>256</v>
      </c>
      <c r="T20" s="4"/>
      <c r="U20" s="4"/>
    </row>
    <row r="21" spans="1:21" x14ac:dyDescent="0.2">
      <c r="A21" s="48" t="s">
        <v>252</v>
      </c>
      <c r="B21" s="48"/>
      <c r="C21" s="52">
        <f>$C$26-TIME(0,15,0)</f>
        <v>0.42708333333333331</v>
      </c>
      <c r="D21" s="52">
        <f>E21-C21</f>
        <v>7.1597222222223311E-2</v>
      </c>
      <c r="E21" s="52">
        <f>C55</f>
        <v>0.49868055555555663</v>
      </c>
      <c r="F21" s="18" t="s">
        <v>56</v>
      </c>
      <c r="G21" s="18" t="s">
        <v>269</v>
      </c>
      <c r="H21" s="18"/>
      <c r="I21" s="18" t="s">
        <v>254</v>
      </c>
      <c r="J21" s="37"/>
      <c r="K21" s="37"/>
      <c r="L21" s="37"/>
      <c r="M21" s="37"/>
      <c r="N21" s="38"/>
      <c r="O21" s="38" t="s">
        <v>256</v>
      </c>
      <c r="P21" s="38"/>
      <c r="Q21" s="38" t="s">
        <v>256</v>
      </c>
      <c r="R21" s="38" t="s">
        <v>256</v>
      </c>
      <c r="T21" s="4"/>
      <c r="U21" s="4"/>
    </row>
    <row r="22" spans="1:21" x14ac:dyDescent="0.2">
      <c r="A22" s="48" t="s">
        <v>252</v>
      </c>
      <c r="B22" s="48"/>
      <c r="C22" s="52">
        <f>$C$26-TIME(0,5,0)</f>
        <v>0.43402777777777779</v>
      </c>
      <c r="D22" s="52">
        <f>E22-C22</f>
        <v>2.4305555555555469E-3</v>
      </c>
      <c r="E22" s="52">
        <f>$C$26-TIME(0,1,30)</f>
        <v>0.43645833333333334</v>
      </c>
      <c r="F22" s="18" t="s">
        <v>275</v>
      </c>
      <c r="G22" s="18" t="s">
        <v>269</v>
      </c>
      <c r="H22" s="18"/>
      <c r="I22" s="18" t="s">
        <v>254</v>
      </c>
      <c r="J22" s="18" t="s">
        <v>418</v>
      </c>
      <c r="K22" s="37"/>
      <c r="L22" s="37"/>
      <c r="M22" s="37"/>
      <c r="N22" s="38"/>
      <c r="O22" s="38" t="s">
        <v>256</v>
      </c>
      <c r="P22" s="38" t="s">
        <v>256</v>
      </c>
      <c r="Q22" s="38" t="s">
        <v>256</v>
      </c>
      <c r="R22" s="38"/>
      <c r="T22" s="4"/>
      <c r="U22" s="4"/>
    </row>
    <row r="23" spans="1:21" x14ac:dyDescent="0.2">
      <c r="A23" s="48" t="s">
        <v>252</v>
      </c>
      <c r="B23" s="48"/>
      <c r="C23" s="52">
        <f>$C$26-TIME(0,1,30)</f>
        <v>0.43645833333333334</v>
      </c>
      <c r="D23" s="52">
        <f>E23-C23</f>
        <v>3.4722222222222099E-4</v>
      </c>
      <c r="E23" s="52">
        <f>$C$26-TIME(0,1,0)</f>
        <v>0.43680555555555556</v>
      </c>
      <c r="F23" s="18" t="s">
        <v>277</v>
      </c>
      <c r="G23" s="18" t="s">
        <v>269</v>
      </c>
      <c r="H23" s="18"/>
      <c r="I23" s="18" t="s">
        <v>254</v>
      </c>
      <c r="J23" s="18" t="s">
        <v>418</v>
      </c>
      <c r="K23" s="37"/>
      <c r="L23" s="37"/>
      <c r="M23" s="37"/>
      <c r="N23" s="38"/>
      <c r="O23" s="38" t="s">
        <v>256</v>
      </c>
      <c r="P23" s="38" t="s">
        <v>256</v>
      </c>
      <c r="Q23" s="38" t="s">
        <v>256</v>
      </c>
      <c r="R23" s="38"/>
      <c r="T23" s="4"/>
      <c r="U23" s="4"/>
    </row>
    <row r="24" spans="1:21" x14ac:dyDescent="0.2">
      <c r="A24" s="48" t="s">
        <v>252</v>
      </c>
      <c r="B24" s="48"/>
      <c r="C24" s="52">
        <f>$C$26-TIME(0,1,0)</f>
        <v>0.43680555555555556</v>
      </c>
      <c r="D24" s="52">
        <f>E24-C24</f>
        <v>6.9444444444444198E-4</v>
      </c>
      <c r="E24" s="52">
        <f>$C$26-TIME(0,0,0)</f>
        <v>0.4375</v>
      </c>
      <c r="F24" s="18" t="s">
        <v>278</v>
      </c>
      <c r="G24" s="18"/>
      <c r="H24" s="18"/>
      <c r="I24" s="18" t="s">
        <v>254</v>
      </c>
      <c r="J24" s="18"/>
      <c r="K24" s="37"/>
      <c r="L24" s="37"/>
      <c r="M24" s="37"/>
      <c r="N24" s="38"/>
      <c r="O24" s="38"/>
      <c r="P24" s="38"/>
      <c r="Q24" s="38" t="s">
        <v>256</v>
      </c>
      <c r="R24" s="38"/>
      <c r="T24" s="4"/>
      <c r="U24" s="4"/>
    </row>
    <row r="25" spans="1:21" x14ac:dyDescent="0.2">
      <c r="A25" s="41"/>
      <c r="B25" s="41"/>
      <c r="C25" s="65">
        <v>0.4375</v>
      </c>
      <c r="D25" s="41"/>
      <c r="E25" s="53"/>
      <c r="F25" s="31" t="s">
        <v>57</v>
      </c>
      <c r="G25" s="40"/>
      <c r="H25" s="40"/>
      <c r="I25" s="40" t="s">
        <v>254</v>
      </c>
      <c r="J25" s="40" t="s">
        <v>418</v>
      </c>
      <c r="K25" s="40"/>
      <c r="L25" s="103">
        <f t="shared" ref="L25" si="0">C25</f>
        <v>0.4375</v>
      </c>
      <c r="M25" s="103"/>
      <c r="N25" s="41"/>
      <c r="O25" s="41" t="s">
        <v>256</v>
      </c>
      <c r="P25" s="41" t="s">
        <v>256</v>
      </c>
      <c r="Q25" s="41" t="s">
        <v>256</v>
      </c>
      <c r="R25" s="41" t="s">
        <v>256</v>
      </c>
      <c r="T25" s="4"/>
      <c r="U25" s="4"/>
    </row>
    <row r="26" spans="1:21" x14ac:dyDescent="0.2">
      <c r="A26" s="43"/>
      <c r="B26" s="43"/>
      <c r="C26" s="57">
        <v>0.4375</v>
      </c>
      <c r="D26" s="43"/>
      <c r="E26" s="54"/>
      <c r="F26" s="32" t="s">
        <v>60</v>
      </c>
      <c r="G26" s="42"/>
      <c r="H26" s="42"/>
      <c r="I26" s="42" t="s">
        <v>254</v>
      </c>
      <c r="J26" s="42" t="s">
        <v>418</v>
      </c>
      <c r="K26" s="42"/>
      <c r="L26" s="104">
        <f t="shared" ref="L26:L56" si="1">C26</f>
        <v>0.4375</v>
      </c>
      <c r="M26" s="104"/>
      <c r="N26" s="43"/>
      <c r="O26" s="43" t="s">
        <v>256</v>
      </c>
      <c r="P26" s="43" t="s">
        <v>256</v>
      </c>
      <c r="Q26" s="43" t="s">
        <v>256</v>
      </c>
      <c r="R26" s="43" t="s">
        <v>256</v>
      </c>
      <c r="T26" s="4"/>
      <c r="U26" s="4"/>
    </row>
    <row r="27" spans="1:21" x14ac:dyDescent="0.2">
      <c r="A27" s="48" t="s">
        <v>279</v>
      </c>
      <c r="B27" s="52">
        <f t="shared" ref="B27:B54" si="2">C27-$C$26</f>
        <v>0</v>
      </c>
      <c r="C27" s="52">
        <f>'[1]Day 2-H'!$D$10</f>
        <v>0.4375</v>
      </c>
      <c r="D27" s="50">
        <f t="shared" ref="D27:D58" si="3">E27-C27</f>
        <v>2.6620370370370461E-3</v>
      </c>
      <c r="E27" s="52">
        <f>C28</f>
        <v>0.44016203703703705</v>
      </c>
      <c r="F27" s="47" t="s">
        <v>419</v>
      </c>
      <c r="G27" s="18" t="s">
        <v>269</v>
      </c>
      <c r="H27" s="18"/>
      <c r="I27" s="18" t="s">
        <v>254</v>
      </c>
      <c r="J27" s="18" t="s">
        <v>418</v>
      </c>
      <c r="K27" s="44" t="s">
        <v>420</v>
      </c>
      <c r="L27" s="105">
        <f t="shared" si="1"/>
        <v>0.4375</v>
      </c>
      <c r="M27" s="105">
        <f t="shared" ref="M27:M54" si="4">E27</f>
        <v>0.44016203703703705</v>
      </c>
      <c r="N27" s="38"/>
      <c r="O27" s="38" t="s">
        <v>256</v>
      </c>
      <c r="P27" s="38" t="s">
        <v>256</v>
      </c>
      <c r="Q27" s="38" t="s">
        <v>256</v>
      </c>
      <c r="R27" s="38"/>
      <c r="T27" s="4"/>
      <c r="U27" s="4"/>
    </row>
    <row r="28" spans="1:21" x14ac:dyDescent="0.2">
      <c r="A28" s="48" t="s">
        <v>279</v>
      </c>
      <c r="B28" s="52">
        <f t="shared" si="2"/>
        <v>2.6620370370370461E-3</v>
      </c>
      <c r="C28" s="52">
        <f>'[1]Day 2-H'!$D$13</f>
        <v>0.44016203703703705</v>
      </c>
      <c r="D28" s="50">
        <f t="shared" si="3"/>
        <v>2.3263888888889195E-3</v>
      </c>
      <c r="E28" s="52">
        <f t="shared" ref="E28:E53" si="5">C29</f>
        <v>0.44248842592592597</v>
      </c>
      <c r="F28" s="47" t="s">
        <v>421</v>
      </c>
      <c r="G28" s="18" t="s">
        <v>269</v>
      </c>
      <c r="H28" s="18"/>
      <c r="I28" s="18" t="s">
        <v>254</v>
      </c>
      <c r="J28" s="18" t="s">
        <v>418</v>
      </c>
      <c r="K28" s="44" t="s">
        <v>422</v>
      </c>
      <c r="L28" s="105">
        <f t="shared" si="1"/>
        <v>0.44016203703703705</v>
      </c>
      <c r="M28" s="105">
        <f t="shared" si="4"/>
        <v>0.44248842592592597</v>
      </c>
      <c r="N28" s="38"/>
      <c r="O28" s="38" t="s">
        <v>256</v>
      </c>
      <c r="P28" s="38" t="s">
        <v>256</v>
      </c>
      <c r="Q28" s="38" t="s">
        <v>256</v>
      </c>
      <c r="R28" s="38"/>
      <c r="T28" s="4"/>
      <c r="U28" s="4"/>
    </row>
    <row r="29" spans="1:21" x14ac:dyDescent="0.2">
      <c r="A29" s="48" t="s">
        <v>279</v>
      </c>
      <c r="B29" s="52">
        <f t="shared" si="2"/>
        <v>4.9884259259259656E-3</v>
      </c>
      <c r="C29" s="52">
        <f>'[1]Day 2-H'!$D$16</f>
        <v>0.44248842592592597</v>
      </c>
      <c r="D29" s="50">
        <f t="shared" si="3"/>
        <v>2.2337962962963309E-3</v>
      </c>
      <c r="E29" s="52">
        <f t="shared" si="5"/>
        <v>0.4447222222222223</v>
      </c>
      <c r="F29" s="47" t="s">
        <v>423</v>
      </c>
      <c r="G29" s="18" t="s">
        <v>269</v>
      </c>
      <c r="H29" s="18"/>
      <c r="I29" s="18" t="s">
        <v>254</v>
      </c>
      <c r="J29" s="18" t="s">
        <v>418</v>
      </c>
      <c r="K29" s="44" t="s">
        <v>424</v>
      </c>
      <c r="L29" s="105">
        <f t="shared" si="1"/>
        <v>0.44248842592592597</v>
      </c>
      <c r="M29" s="105">
        <f t="shared" si="4"/>
        <v>0.4447222222222223</v>
      </c>
      <c r="N29" s="38"/>
      <c r="O29" s="38" t="s">
        <v>256</v>
      </c>
      <c r="P29" s="38" t="s">
        <v>256</v>
      </c>
      <c r="Q29" s="38" t="s">
        <v>256</v>
      </c>
      <c r="R29" s="38"/>
      <c r="T29" s="4"/>
      <c r="U29" s="4"/>
    </row>
    <row r="30" spans="1:21" x14ac:dyDescent="0.2">
      <c r="A30" s="48" t="s">
        <v>279</v>
      </c>
      <c r="B30" s="52">
        <f t="shared" si="2"/>
        <v>7.2222222222222965E-3</v>
      </c>
      <c r="C30" s="52">
        <f>'[1]Day 2-H'!$D$19</f>
        <v>0.4447222222222223</v>
      </c>
      <c r="D30" s="50">
        <f t="shared" si="3"/>
        <v>2.222222222222292E-3</v>
      </c>
      <c r="E30" s="52">
        <f t="shared" si="5"/>
        <v>0.44694444444444459</v>
      </c>
      <c r="F30" s="47" t="s">
        <v>425</v>
      </c>
      <c r="G30" s="18" t="s">
        <v>269</v>
      </c>
      <c r="H30" s="18"/>
      <c r="I30" s="18" t="s">
        <v>254</v>
      </c>
      <c r="J30" s="18" t="s">
        <v>418</v>
      </c>
      <c r="K30" s="44" t="s">
        <v>426</v>
      </c>
      <c r="L30" s="105">
        <f t="shared" si="1"/>
        <v>0.4447222222222223</v>
      </c>
      <c r="M30" s="105">
        <f t="shared" si="4"/>
        <v>0.44694444444444459</v>
      </c>
      <c r="N30" s="38"/>
      <c r="O30" s="38" t="s">
        <v>256</v>
      </c>
      <c r="P30" s="38" t="s">
        <v>256</v>
      </c>
      <c r="Q30" s="38" t="s">
        <v>256</v>
      </c>
      <c r="R30" s="38"/>
      <c r="T30" s="4"/>
      <c r="U30" s="4"/>
    </row>
    <row r="31" spans="1:21" x14ac:dyDescent="0.2">
      <c r="A31" s="48" t="s">
        <v>279</v>
      </c>
      <c r="B31" s="52">
        <f t="shared" si="2"/>
        <v>9.4444444444445885E-3</v>
      </c>
      <c r="C31" s="52">
        <f>'[1]Day 2-H'!$D$22</f>
        <v>0.44694444444444459</v>
      </c>
      <c r="D31" s="50">
        <f t="shared" si="3"/>
        <v>2.6736111111111405E-3</v>
      </c>
      <c r="E31" s="52">
        <f>C32</f>
        <v>0.44961805555555573</v>
      </c>
      <c r="F31" s="47" t="s">
        <v>427</v>
      </c>
      <c r="G31" s="18" t="s">
        <v>269</v>
      </c>
      <c r="H31" s="18"/>
      <c r="I31" s="18" t="s">
        <v>254</v>
      </c>
      <c r="J31" s="18" t="s">
        <v>418</v>
      </c>
      <c r="K31" s="44" t="s">
        <v>428</v>
      </c>
      <c r="L31" s="105">
        <f t="shared" si="1"/>
        <v>0.44694444444444459</v>
      </c>
      <c r="M31" s="105">
        <f t="shared" si="4"/>
        <v>0.44961805555555573</v>
      </c>
      <c r="N31" s="38"/>
      <c r="O31" s="38" t="s">
        <v>256</v>
      </c>
      <c r="P31" s="38" t="s">
        <v>256</v>
      </c>
      <c r="Q31" s="38" t="s">
        <v>256</v>
      </c>
      <c r="R31" s="38"/>
      <c r="T31" s="4"/>
      <c r="U31" s="4"/>
    </row>
    <row r="32" spans="1:21" x14ac:dyDescent="0.2">
      <c r="A32" s="48" t="s">
        <v>279</v>
      </c>
      <c r="B32" s="52">
        <f t="shared" si="2"/>
        <v>1.2118055555555729E-2</v>
      </c>
      <c r="C32" s="52">
        <f>'[1]Day 2-H'!$D$29</f>
        <v>0.44961805555555573</v>
      </c>
      <c r="D32" s="50">
        <f t="shared" si="3"/>
        <v>1.8518518518518823E-3</v>
      </c>
      <c r="E32" s="52">
        <f t="shared" si="5"/>
        <v>0.45146990740740761</v>
      </c>
      <c r="F32" s="47" t="s">
        <v>429</v>
      </c>
      <c r="G32" s="18" t="s">
        <v>269</v>
      </c>
      <c r="H32" s="18"/>
      <c r="I32" s="18" t="s">
        <v>254</v>
      </c>
      <c r="J32" s="18" t="s">
        <v>418</v>
      </c>
      <c r="K32" s="44" t="s">
        <v>430</v>
      </c>
      <c r="L32" s="105">
        <f t="shared" si="1"/>
        <v>0.44961805555555573</v>
      </c>
      <c r="M32" s="105">
        <f t="shared" si="4"/>
        <v>0.45146990740740761</v>
      </c>
      <c r="N32" s="38"/>
      <c r="O32" s="38" t="s">
        <v>256</v>
      </c>
      <c r="P32" s="38" t="s">
        <v>256</v>
      </c>
      <c r="Q32" s="38" t="s">
        <v>256</v>
      </c>
      <c r="R32" s="38"/>
      <c r="T32" s="4"/>
      <c r="U32" s="4"/>
    </row>
    <row r="33" spans="1:21" x14ac:dyDescent="0.2">
      <c r="A33" s="48" t="s">
        <v>279</v>
      </c>
      <c r="B33" s="52">
        <f t="shared" si="2"/>
        <v>1.3969907407407611E-2</v>
      </c>
      <c r="C33" s="52">
        <f>'[1]Day 2-H'!$D$32</f>
        <v>0.45146990740740761</v>
      </c>
      <c r="D33" s="50">
        <f t="shared" si="3"/>
        <v>1.2847222222222565E-3</v>
      </c>
      <c r="E33" s="52">
        <f t="shared" si="5"/>
        <v>0.45275462962962987</v>
      </c>
      <c r="F33" s="47" t="s">
        <v>431</v>
      </c>
      <c r="G33" s="18" t="s">
        <v>269</v>
      </c>
      <c r="H33" s="18"/>
      <c r="I33" s="18" t="s">
        <v>254</v>
      </c>
      <c r="J33" s="18" t="s">
        <v>418</v>
      </c>
      <c r="K33" s="44" t="s">
        <v>432</v>
      </c>
      <c r="L33" s="105">
        <f t="shared" si="1"/>
        <v>0.45146990740740761</v>
      </c>
      <c r="M33" s="105">
        <f t="shared" si="4"/>
        <v>0.45275462962962987</v>
      </c>
      <c r="N33" s="38"/>
      <c r="O33" s="38" t="s">
        <v>256</v>
      </c>
      <c r="P33" s="38" t="s">
        <v>256</v>
      </c>
      <c r="Q33" s="38" t="s">
        <v>256</v>
      </c>
      <c r="R33" s="38"/>
      <c r="T33" s="4"/>
      <c r="U33" s="4"/>
    </row>
    <row r="34" spans="1:21" x14ac:dyDescent="0.2">
      <c r="A34" s="48" t="s">
        <v>279</v>
      </c>
      <c r="B34" s="52">
        <f t="shared" si="2"/>
        <v>1.5254629629629868E-2</v>
      </c>
      <c r="C34" s="52">
        <f>'[1]Day 2-H'!$D$35</f>
        <v>0.45275462962962987</v>
      </c>
      <c r="D34" s="50">
        <f t="shared" si="3"/>
        <v>1.2731481481482176E-3</v>
      </c>
      <c r="E34" s="52">
        <f t="shared" si="5"/>
        <v>0.45402777777777809</v>
      </c>
      <c r="F34" s="47" t="s">
        <v>433</v>
      </c>
      <c r="G34" s="18" t="s">
        <v>269</v>
      </c>
      <c r="H34" s="18"/>
      <c r="I34" s="18" t="s">
        <v>254</v>
      </c>
      <c r="J34" s="18" t="s">
        <v>418</v>
      </c>
      <c r="K34" s="44" t="s">
        <v>434</v>
      </c>
      <c r="L34" s="105">
        <f t="shared" si="1"/>
        <v>0.45275462962962987</v>
      </c>
      <c r="M34" s="105">
        <f t="shared" si="4"/>
        <v>0.45402777777777809</v>
      </c>
      <c r="N34" s="38"/>
      <c r="O34" s="38" t="s">
        <v>256</v>
      </c>
      <c r="P34" s="38" t="s">
        <v>256</v>
      </c>
      <c r="Q34" s="38" t="s">
        <v>256</v>
      </c>
      <c r="R34" s="38"/>
      <c r="T34" s="4"/>
      <c r="U34" s="4"/>
    </row>
    <row r="35" spans="1:21" x14ac:dyDescent="0.2">
      <c r="A35" s="48" t="s">
        <v>279</v>
      </c>
      <c r="B35" s="52">
        <f t="shared" si="2"/>
        <v>1.6527777777778085E-2</v>
      </c>
      <c r="C35" s="52">
        <f>'[1]Day 2-H'!$D$38</f>
        <v>0.45402777777777809</v>
      </c>
      <c r="D35" s="50">
        <f t="shared" si="3"/>
        <v>1.2615740740741233E-3</v>
      </c>
      <c r="E35" s="52">
        <f t="shared" si="5"/>
        <v>0.45528935185185221</v>
      </c>
      <c r="F35" s="47" t="s">
        <v>435</v>
      </c>
      <c r="G35" s="18" t="s">
        <v>269</v>
      </c>
      <c r="H35" s="18"/>
      <c r="I35" s="18" t="s">
        <v>254</v>
      </c>
      <c r="J35" s="18" t="s">
        <v>418</v>
      </c>
      <c r="K35" s="44" t="s">
        <v>436</v>
      </c>
      <c r="L35" s="105">
        <f t="shared" si="1"/>
        <v>0.45402777777777809</v>
      </c>
      <c r="M35" s="105">
        <f t="shared" si="4"/>
        <v>0.45528935185185221</v>
      </c>
      <c r="N35" s="38"/>
      <c r="O35" s="38" t="s">
        <v>256</v>
      </c>
      <c r="P35" s="38" t="s">
        <v>256</v>
      </c>
      <c r="Q35" s="38" t="s">
        <v>256</v>
      </c>
      <c r="R35" s="38"/>
      <c r="T35" s="4"/>
      <c r="U35" s="4"/>
    </row>
    <row r="36" spans="1:21" x14ac:dyDescent="0.2">
      <c r="A36" s="48" t="s">
        <v>279</v>
      </c>
      <c r="B36" s="52">
        <f t="shared" si="2"/>
        <v>1.7789351851852209E-2</v>
      </c>
      <c r="C36" s="52">
        <f>'[1]Day 2-H'!$D$41</f>
        <v>0.45528935185185221</v>
      </c>
      <c r="D36" s="50">
        <f t="shared" si="3"/>
        <v>1.2500000000000289E-3</v>
      </c>
      <c r="E36" s="52">
        <f t="shared" si="5"/>
        <v>0.45653935185185224</v>
      </c>
      <c r="F36" s="47" t="s">
        <v>437</v>
      </c>
      <c r="G36" s="18" t="s">
        <v>269</v>
      </c>
      <c r="H36" s="18"/>
      <c r="I36" s="18" t="s">
        <v>254</v>
      </c>
      <c r="J36" s="18" t="s">
        <v>418</v>
      </c>
      <c r="K36" s="44" t="s">
        <v>438</v>
      </c>
      <c r="L36" s="105">
        <f t="shared" si="1"/>
        <v>0.45528935185185221</v>
      </c>
      <c r="M36" s="105">
        <f t="shared" si="4"/>
        <v>0.45653935185185224</v>
      </c>
      <c r="N36" s="38"/>
      <c r="O36" s="38" t="s">
        <v>256</v>
      </c>
      <c r="P36" s="38" t="s">
        <v>256</v>
      </c>
      <c r="Q36" s="38" t="s">
        <v>256</v>
      </c>
      <c r="R36" s="38"/>
      <c r="T36" s="4"/>
      <c r="U36" s="4"/>
    </row>
    <row r="37" spans="1:21" x14ac:dyDescent="0.2">
      <c r="A37" s="48" t="s">
        <v>279</v>
      </c>
      <c r="B37" s="52">
        <f t="shared" si="2"/>
        <v>1.9039351851852238E-2</v>
      </c>
      <c r="C37" s="52">
        <f>'[1]Day 2-H'!$D$44</f>
        <v>0.45653935185185224</v>
      </c>
      <c r="D37" s="50">
        <f t="shared" si="3"/>
        <v>1.2500000000000289E-3</v>
      </c>
      <c r="E37" s="52">
        <f t="shared" si="5"/>
        <v>0.45778935185185227</v>
      </c>
      <c r="F37" s="47" t="s">
        <v>439</v>
      </c>
      <c r="G37" s="18" t="s">
        <v>269</v>
      </c>
      <c r="H37" s="18"/>
      <c r="I37" s="18" t="s">
        <v>254</v>
      </c>
      <c r="J37" s="18" t="s">
        <v>418</v>
      </c>
      <c r="K37" s="44" t="s">
        <v>440</v>
      </c>
      <c r="L37" s="105">
        <f t="shared" si="1"/>
        <v>0.45653935185185224</v>
      </c>
      <c r="M37" s="105">
        <f t="shared" si="4"/>
        <v>0.45778935185185227</v>
      </c>
      <c r="N37" s="38"/>
      <c r="O37" s="38" t="s">
        <v>256</v>
      </c>
      <c r="P37" s="38" t="s">
        <v>256</v>
      </c>
      <c r="Q37" s="38" t="s">
        <v>256</v>
      </c>
      <c r="R37" s="38"/>
      <c r="T37" s="4"/>
      <c r="U37" s="4"/>
    </row>
    <row r="38" spans="1:21" x14ac:dyDescent="0.2">
      <c r="A38" s="48" t="s">
        <v>279</v>
      </c>
      <c r="B38" s="52">
        <f t="shared" si="2"/>
        <v>2.0289351851852266E-2</v>
      </c>
      <c r="C38" s="52">
        <f>'[1]Day 2-H'!$D$47</f>
        <v>0.45778935185185227</v>
      </c>
      <c r="D38" s="50">
        <f t="shared" si="3"/>
        <v>1.23842592592599E-3</v>
      </c>
      <c r="E38" s="52">
        <f t="shared" si="5"/>
        <v>0.45902777777777826</v>
      </c>
      <c r="F38" s="47" t="s">
        <v>441</v>
      </c>
      <c r="G38" s="18" t="s">
        <v>269</v>
      </c>
      <c r="H38" s="18"/>
      <c r="I38" s="18" t="s">
        <v>254</v>
      </c>
      <c r="J38" s="18" t="s">
        <v>418</v>
      </c>
      <c r="K38" s="44" t="s">
        <v>442</v>
      </c>
      <c r="L38" s="105">
        <f t="shared" si="1"/>
        <v>0.45778935185185227</v>
      </c>
      <c r="M38" s="105">
        <f t="shared" si="4"/>
        <v>0.45902777777777826</v>
      </c>
      <c r="N38" s="38"/>
      <c r="O38" s="38" t="s">
        <v>256</v>
      </c>
      <c r="P38" s="38" t="s">
        <v>256</v>
      </c>
      <c r="Q38" s="38" t="s">
        <v>256</v>
      </c>
      <c r="R38" s="38"/>
      <c r="T38" s="4"/>
      <c r="U38" s="4"/>
    </row>
    <row r="39" spans="1:21" x14ac:dyDescent="0.2">
      <c r="A39" s="48" t="s">
        <v>279</v>
      </c>
      <c r="B39" s="52">
        <f t="shared" si="2"/>
        <v>2.1527777777778256E-2</v>
      </c>
      <c r="C39" s="52">
        <f>'[1]Day 2-H'!$D$50</f>
        <v>0.45902777777777826</v>
      </c>
      <c r="D39" s="50">
        <f t="shared" si="3"/>
        <v>1.23842592592599E-3</v>
      </c>
      <c r="E39" s="52">
        <f t="shared" si="5"/>
        <v>0.46026620370370425</v>
      </c>
      <c r="F39" s="47" t="s">
        <v>443</v>
      </c>
      <c r="G39" s="18" t="s">
        <v>269</v>
      </c>
      <c r="H39" s="18"/>
      <c r="I39" s="18" t="s">
        <v>254</v>
      </c>
      <c r="J39" s="18" t="s">
        <v>418</v>
      </c>
      <c r="K39" s="44" t="s">
        <v>444</v>
      </c>
      <c r="L39" s="105">
        <f t="shared" si="1"/>
        <v>0.45902777777777826</v>
      </c>
      <c r="M39" s="105">
        <f t="shared" si="4"/>
        <v>0.46026620370370425</v>
      </c>
      <c r="N39" s="38"/>
      <c r="O39" s="38" t="s">
        <v>256</v>
      </c>
      <c r="P39" s="38" t="s">
        <v>256</v>
      </c>
      <c r="Q39" s="38" t="s">
        <v>256</v>
      </c>
      <c r="R39" s="38"/>
      <c r="T39" s="4"/>
      <c r="U39" s="4"/>
    </row>
    <row r="40" spans="1:21" x14ac:dyDescent="0.2">
      <c r="A40" s="48" t="s">
        <v>279</v>
      </c>
      <c r="B40" s="52">
        <f t="shared" ref="B40" si="6">C40-$C$26</f>
        <v>2.2766203703704246E-2</v>
      </c>
      <c r="C40" s="52">
        <f>'[1]Day 2-H'!$D$53</f>
        <v>0.46026620370370425</v>
      </c>
      <c r="D40" s="50">
        <f t="shared" ref="D40" si="7">E40-C40</f>
        <v>1.7013888888889328E-3</v>
      </c>
      <c r="E40" s="52">
        <f t="shared" si="5"/>
        <v>0.46196759259259318</v>
      </c>
      <c r="F40" s="47" t="s">
        <v>445</v>
      </c>
      <c r="G40" s="18" t="s">
        <v>269</v>
      </c>
      <c r="H40" s="18"/>
      <c r="I40" s="18" t="s">
        <v>254</v>
      </c>
      <c r="J40" s="18" t="s">
        <v>418</v>
      </c>
      <c r="K40" s="44" t="s">
        <v>446</v>
      </c>
      <c r="L40" s="105">
        <f t="shared" ref="L40" si="8">C40</f>
        <v>0.46026620370370425</v>
      </c>
      <c r="M40" s="105">
        <f t="shared" ref="M40" si="9">E40</f>
        <v>0.46196759259259318</v>
      </c>
      <c r="N40" s="38"/>
      <c r="O40" s="38" t="s">
        <v>256</v>
      </c>
      <c r="P40" s="38" t="s">
        <v>256</v>
      </c>
      <c r="Q40" s="38" t="s">
        <v>256</v>
      </c>
      <c r="R40" s="38"/>
      <c r="T40" s="4"/>
      <c r="U40" s="4"/>
    </row>
    <row r="41" spans="1:21" x14ac:dyDescent="0.2">
      <c r="A41" s="48" t="s">
        <v>279</v>
      </c>
      <c r="B41" s="52">
        <f t="shared" si="2"/>
        <v>2.4467592592593179E-2</v>
      </c>
      <c r="C41" s="52">
        <f>'[1]Day 2-H'!$D$65</f>
        <v>0.46196759259259318</v>
      </c>
      <c r="D41" s="50">
        <f t="shared" si="3"/>
        <v>2.3842592592592804E-3</v>
      </c>
      <c r="E41" s="52">
        <f t="shared" si="5"/>
        <v>0.46435185185185246</v>
      </c>
      <c r="F41" s="47" t="s">
        <v>447</v>
      </c>
      <c r="G41" s="18" t="s">
        <v>269</v>
      </c>
      <c r="H41" s="18"/>
      <c r="I41" s="18" t="s">
        <v>254</v>
      </c>
      <c r="J41" s="18" t="s">
        <v>418</v>
      </c>
      <c r="K41" s="44" t="s">
        <v>448</v>
      </c>
      <c r="L41" s="105">
        <f t="shared" si="1"/>
        <v>0.46196759259259318</v>
      </c>
      <c r="M41" s="105">
        <f t="shared" si="4"/>
        <v>0.46435185185185246</v>
      </c>
      <c r="N41" s="38"/>
      <c r="O41" s="38" t="s">
        <v>256</v>
      </c>
      <c r="P41" s="38" t="s">
        <v>256</v>
      </c>
      <c r="Q41" s="38" t="s">
        <v>256</v>
      </c>
      <c r="R41" s="38"/>
      <c r="T41" s="4"/>
      <c r="U41" s="4"/>
    </row>
    <row r="42" spans="1:21" x14ac:dyDescent="0.2">
      <c r="A42" s="48" t="s">
        <v>279</v>
      </c>
      <c r="B42" s="52">
        <f t="shared" si="2"/>
        <v>2.685185185185246E-2</v>
      </c>
      <c r="C42" s="52">
        <f>'[1]Day 2-H'!$D$68</f>
        <v>0.46435185185185246</v>
      </c>
      <c r="D42" s="50">
        <f t="shared" si="3"/>
        <v>1.7361111111111605E-3</v>
      </c>
      <c r="E42" s="52">
        <f t="shared" si="5"/>
        <v>0.46608796296296362</v>
      </c>
      <c r="F42" s="47" t="s">
        <v>449</v>
      </c>
      <c r="G42" s="18" t="s">
        <v>269</v>
      </c>
      <c r="H42" s="18"/>
      <c r="I42" s="18" t="s">
        <v>254</v>
      </c>
      <c r="J42" s="18" t="s">
        <v>418</v>
      </c>
      <c r="K42" s="44" t="s">
        <v>450</v>
      </c>
      <c r="L42" s="105">
        <f t="shared" si="1"/>
        <v>0.46435185185185246</v>
      </c>
      <c r="M42" s="105">
        <f t="shared" si="4"/>
        <v>0.46608796296296362</v>
      </c>
      <c r="N42" s="38"/>
      <c r="O42" s="38" t="s">
        <v>256</v>
      </c>
      <c r="P42" s="38" t="s">
        <v>256</v>
      </c>
      <c r="Q42" s="38" t="s">
        <v>256</v>
      </c>
      <c r="R42" s="38"/>
      <c r="T42" s="4"/>
      <c r="U42" s="4"/>
    </row>
    <row r="43" spans="1:21" x14ac:dyDescent="0.2">
      <c r="A43" s="48" t="s">
        <v>279</v>
      </c>
      <c r="B43" s="52">
        <f t="shared" si="2"/>
        <v>2.858796296296362E-2</v>
      </c>
      <c r="C43" s="52">
        <f>'[1]Day 2-H'!$D$71</f>
        <v>0.46608796296296362</v>
      </c>
      <c r="D43" s="50">
        <f t="shared" si="3"/>
        <v>1.6782407407407995E-3</v>
      </c>
      <c r="E43" s="52">
        <f t="shared" si="5"/>
        <v>0.46776620370370442</v>
      </c>
      <c r="F43" s="47" t="s">
        <v>451</v>
      </c>
      <c r="G43" s="18" t="s">
        <v>269</v>
      </c>
      <c r="H43" s="18"/>
      <c r="I43" s="18" t="s">
        <v>254</v>
      </c>
      <c r="J43" s="18" t="s">
        <v>418</v>
      </c>
      <c r="K43" s="44" t="s">
        <v>452</v>
      </c>
      <c r="L43" s="105">
        <f t="shared" si="1"/>
        <v>0.46608796296296362</v>
      </c>
      <c r="M43" s="105">
        <f t="shared" si="4"/>
        <v>0.46776620370370442</v>
      </c>
      <c r="N43" s="38"/>
      <c r="O43" s="38" t="s">
        <v>256</v>
      </c>
      <c r="P43" s="38" t="s">
        <v>256</v>
      </c>
      <c r="Q43" s="38" t="s">
        <v>256</v>
      </c>
      <c r="R43" s="38"/>
      <c r="T43" s="4"/>
      <c r="U43" s="4"/>
    </row>
    <row r="44" spans="1:21" x14ac:dyDescent="0.2">
      <c r="A44" s="48" t="s">
        <v>279</v>
      </c>
      <c r="B44" s="52">
        <f t="shared" si="2"/>
        <v>3.026620370370442E-2</v>
      </c>
      <c r="C44" s="52">
        <f>'[1]Day 2-H'!$D$74</f>
        <v>0.46776620370370442</v>
      </c>
      <c r="D44" s="50">
        <f t="shared" si="3"/>
        <v>1.6666666666667052E-3</v>
      </c>
      <c r="E44" s="52">
        <f t="shared" si="5"/>
        <v>0.46943287037037112</v>
      </c>
      <c r="F44" s="47" t="s">
        <v>453</v>
      </c>
      <c r="G44" s="18" t="s">
        <v>269</v>
      </c>
      <c r="H44" s="18"/>
      <c r="I44" s="18" t="s">
        <v>254</v>
      </c>
      <c r="J44" s="18" t="s">
        <v>418</v>
      </c>
      <c r="K44" s="44" t="s">
        <v>454</v>
      </c>
      <c r="L44" s="105">
        <f t="shared" si="1"/>
        <v>0.46776620370370442</v>
      </c>
      <c r="M44" s="105">
        <f t="shared" si="4"/>
        <v>0.46943287037037112</v>
      </c>
      <c r="N44" s="38"/>
      <c r="O44" s="38" t="s">
        <v>256</v>
      </c>
      <c r="P44" s="38" t="s">
        <v>256</v>
      </c>
      <c r="Q44" s="38" t="s">
        <v>256</v>
      </c>
      <c r="R44" s="38"/>
      <c r="T44" s="4"/>
      <c r="U44" s="4"/>
    </row>
    <row r="45" spans="1:21" x14ac:dyDescent="0.2">
      <c r="A45" s="48" t="s">
        <v>279</v>
      </c>
      <c r="B45" s="52">
        <f t="shared" ref="B45" si="10">C45-$C$26</f>
        <v>3.1932870370371125E-2</v>
      </c>
      <c r="C45" s="52">
        <f>'[1]Day 2-H'!$D$77</f>
        <v>0.46943287037037112</v>
      </c>
      <c r="D45" s="50">
        <f t="shared" si="3"/>
        <v>2.129629629629648E-3</v>
      </c>
      <c r="E45" s="52">
        <f t="shared" si="5"/>
        <v>0.47156250000000077</v>
      </c>
      <c r="F45" s="47" t="s">
        <v>455</v>
      </c>
      <c r="G45" s="18" t="s">
        <v>269</v>
      </c>
      <c r="H45" s="18"/>
      <c r="I45" s="18" t="s">
        <v>254</v>
      </c>
      <c r="J45" s="18" t="s">
        <v>418</v>
      </c>
      <c r="K45" s="44" t="s">
        <v>456</v>
      </c>
      <c r="L45" s="105">
        <f t="shared" ref="L45" si="11">C45</f>
        <v>0.46943287037037112</v>
      </c>
      <c r="M45" s="105">
        <f t="shared" ref="M45" si="12">E45</f>
        <v>0.47156250000000077</v>
      </c>
      <c r="N45" s="38"/>
      <c r="O45" s="38" t="s">
        <v>256</v>
      </c>
      <c r="P45" s="38" t="s">
        <v>256</v>
      </c>
      <c r="Q45" s="38" t="s">
        <v>256</v>
      </c>
      <c r="R45" s="38"/>
      <c r="T45" s="4"/>
      <c r="U45" s="4"/>
    </row>
    <row r="46" spans="1:21" x14ac:dyDescent="0.2">
      <c r="A46" s="48" t="s">
        <v>279</v>
      </c>
      <c r="B46" s="52">
        <f t="shared" si="2"/>
        <v>3.4062500000000773E-2</v>
      </c>
      <c r="C46" s="52">
        <f>'[1]Day 2-H'!$D$81</f>
        <v>0.47156250000000077</v>
      </c>
      <c r="D46" s="50">
        <f t="shared" si="3"/>
        <v>2.372685185185186E-3</v>
      </c>
      <c r="E46" s="52">
        <f t="shared" si="5"/>
        <v>0.47393518518518596</v>
      </c>
      <c r="F46" s="47" t="s">
        <v>457</v>
      </c>
      <c r="G46" s="18" t="s">
        <v>269</v>
      </c>
      <c r="H46" s="18"/>
      <c r="I46" s="18" t="s">
        <v>254</v>
      </c>
      <c r="J46" s="18" t="s">
        <v>418</v>
      </c>
      <c r="K46" s="44" t="s">
        <v>458</v>
      </c>
      <c r="L46" s="105">
        <f t="shared" si="1"/>
        <v>0.47156250000000077</v>
      </c>
      <c r="M46" s="105">
        <f t="shared" si="4"/>
        <v>0.47393518518518596</v>
      </c>
      <c r="N46" s="38"/>
      <c r="O46" s="38" t="s">
        <v>256</v>
      </c>
      <c r="P46" s="38" t="s">
        <v>256</v>
      </c>
      <c r="Q46" s="38" t="s">
        <v>256</v>
      </c>
      <c r="R46" s="38"/>
      <c r="T46" s="4"/>
      <c r="U46" s="4"/>
    </row>
    <row r="47" spans="1:21" x14ac:dyDescent="0.2">
      <c r="A47" s="48" t="s">
        <v>279</v>
      </c>
      <c r="B47" s="52">
        <f t="shared" si="2"/>
        <v>3.6435185185185959E-2</v>
      </c>
      <c r="C47" s="52">
        <f>'[1]Day 2-H'!$D$84</f>
        <v>0.47393518518518596</v>
      </c>
      <c r="D47" s="50">
        <f>E47-C47</f>
        <v>1.7361111111111605E-3</v>
      </c>
      <c r="E47" s="52">
        <f t="shared" si="5"/>
        <v>0.47567129629629712</v>
      </c>
      <c r="F47" s="47" t="s">
        <v>459</v>
      </c>
      <c r="G47" s="18" t="s">
        <v>269</v>
      </c>
      <c r="H47" s="18"/>
      <c r="I47" s="18" t="s">
        <v>254</v>
      </c>
      <c r="J47" s="18" t="s">
        <v>418</v>
      </c>
      <c r="K47" s="44" t="s">
        <v>460</v>
      </c>
      <c r="L47" s="105">
        <f t="shared" si="1"/>
        <v>0.47393518518518596</v>
      </c>
      <c r="M47" s="105">
        <f t="shared" si="4"/>
        <v>0.47567129629629712</v>
      </c>
      <c r="N47" s="38"/>
      <c r="O47" s="38" t="s">
        <v>256</v>
      </c>
      <c r="P47" s="38" t="s">
        <v>256</v>
      </c>
      <c r="Q47" s="38" t="s">
        <v>256</v>
      </c>
      <c r="R47" s="38"/>
      <c r="T47" s="4"/>
      <c r="U47" s="4"/>
    </row>
    <row r="48" spans="1:21" x14ac:dyDescent="0.2">
      <c r="A48" s="48" t="s">
        <v>279</v>
      </c>
      <c r="B48" s="52">
        <f t="shared" si="2"/>
        <v>3.8171296296297119E-2</v>
      </c>
      <c r="C48" s="52">
        <f>'[1]Day 2-H'!$D$87</f>
        <v>0.47567129629629712</v>
      </c>
      <c r="D48" s="50">
        <f t="shared" ref="D48:D53" si="13">E48-C48</f>
        <v>1.7013888888889328E-3</v>
      </c>
      <c r="E48" s="52">
        <f t="shared" si="5"/>
        <v>0.47737268518518605</v>
      </c>
      <c r="F48" s="47" t="s">
        <v>461</v>
      </c>
      <c r="G48" s="18" t="s">
        <v>269</v>
      </c>
      <c r="H48" s="18"/>
      <c r="I48" s="18" t="s">
        <v>254</v>
      </c>
      <c r="J48" s="18" t="s">
        <v>418</v>
      </c>
      <c r="K48" s="44" t="s">
        <v>462</v>
      </c>
      <c r="L48" s="105">
        <f t="shared" si="1"/>
        <v>0.47567129629629712</v>
      </c>
      <c r="M48" s="105">
        <f t="shared" si="4"/>
        <v>0.47737268518518605</v>
      </c>
      <c r="N48" s="38"/>
      <c r="O48" s="38" t="s">
        <v>256</v>
      </c>
      <c r="P48" s="38" t="s">
        <v>256</v>
      </c>
      <c r="Q48" s="38" t="s">
        <v>256</v>
      </c>
      <c r="R48" s="38"/>
      <c r="T48" s="4"/>
      <c r="U48" s="4"/>
    </row>
    <row r="49" spans="1:21" x14ac:dyDescent="0.2">
      <c r="A49" s="48" t="s">
        <v>279</v>
      </c>
      <c r="B49" s="52">
        <f t="shared" si="2"/>
        <v>3.9872685185186052E-2</v>
      </c>
      <c r="C49" s="52">
        <f>'[1]Day 2-H'!$D$90</f>
        <v>0.47737268518518605</v>
      </c>
      <c r="D49" s="50">
        <f t="shared" si="13"/>
        <v>2.1643518518518756E-3</v>
      </c>
      <c r="E49" s="52">
        <f>C50</f>
        <v>0.47953703703703793</v>
      </c>
      <c r="F49" s="47" t="s">
        <v>463</v>
      </c>
      <c r="G49" s="18" t="s">
        <v>269</v>
      </c>
      <c r="H49" s="18"/>
      <c r="I49" s="18" t="s">
        <v>254</v>
      </c>
      <c r="J49" s="18" t="s">
        <v>418</v>
      </c>
      <c r="K49" s="44" t="s">
        <v>464</v>
      </c>
      <c r="L49" s="105">
        <f t="shared" si="1"/>
        <v>0.47737268518518605</v>
      </c>
      <c r="M49" s="105">
        <f t="shared" si="4"/>
        <v>0.47953703703703793</v>
      </c>
      <c r="N49" s="38"/>
      <c r="O49" s="38" t="s">
        <v>256</v>
      </c>
      <c r="P49" s="38" t="s">
        <v>256</v>
      </c>
      <c r="Q49" s="38" t="s">
        <v>256</v>
      </c>
      <c r="R49" s="38"/>
      <c r="T49" s="4"/>
      <c r="U49" s="4"/>
    </row>
    <row r="50" spans="1:21" x14ac:dyDescent="0.2">
      <c r="A50" s="48" t="s">
        <v>279</v>
      </c>
      <c r="B50" s="52">
        <f t="shared" si="2"/>
        <v>4.2037037037037928E-2</v>
      </c>
      <c r="C50" s="52">
        <f>'[1]Day 2-H'!$D$97</f>
        <v>0.47953703703703793</v>
      </c>
      <c r="D50" s="50">
        <f t="shared" si="13"/>
        <v>4.5833333333333837E-3</v>
      </c>
      <c r="E50" s="52">
        <f t="shared" si="5"/>
        <v>0.48412037037037131</v>
      </c>
      <c r="F50" s="47" t="s">
        <v>465</v>
      </c>
      <c r="G50" s="18" t="s">
        <v>269</v>
      </c>
      <c r="H50" s="18"/>
      <c r="I50" s="18" t="s">
        <v>254</v>
      </c>
      <c r="J50" s="18" t="s">
        <v>418</v>
      </c>
      <c r="K50" s="44" t="s">
        <v>466</v>
      </c>
      <c r="L50" s="105">
        <f t="shared" si="1"/>
        <v>0.47953703703703793</v>
      </c>
      <c r="M50" s="105">
        <f t="shared" si="4"/>
        <v>0.48412037037037131</v>
      </c>
      <c r="N50" s="38"/>
      <c r="O50" s="38" t="s">
        <v>256</v>
      </c>
      <c r="P50" s="38" t="s">
        <v>256</v>
      </c>
      <c r="Q50" s="38" t="s">
        <v>256</v>
      </c>
      <c r="R50" s="38"/>
      <c r="T50" s="4"/>
      <c r="U50" s="4"/>
    </row>
    <row r="51" spans="1:21" x14ac:dyDescent="0.2">
      <c r="A51" s="48" t="s">
        <v>279</v>
      </c>
      <c r="B51" s="52">
        <f t="shared" si="2"/>
        <v>4.6620370370371311E-2</v>
      </c>
      <c r="C51" s="52">
        <f>'[1]Day 2-H'!$D$100</f>
        <v>0.48412037037037131</v>
      </c>
      <c r="D51" s="50">
        <f t="shared" si="13"/>
        <v>5.0578703703704209E-3</v>
      </c>
      <c r="E51" s="52">
        <f>C52</f>
        <v>0.48917824074074173</v>
      </c>
      <c r="F51" s="47" t="s">
        <v>467</v>
      </c>
      <c r="G51" s="18" t="s">
        <v>269</v>
      </c>
      <c r="H51" s="18"/>
      <c r="I51" s="18" t="s">
        <v>254</v>
      </c>
      <c r="J51" s="18" t="s">
        <v>418</v>
      </c>
      <c r="K51" s="44" t="s">
        <v>468</v>
      </c>
      <c r="L51" s="105">
        <f t="shared" si="1"/>
        <v>0.48412037037037131</v>
      </c>
      <c r="M51" s="105">
        <f t="shared" si="4"/>
        <v>0.48917824074074173</v>
      </c>
      <c r="N51" s="38"/>
      <c r="O51" s="38" t="s">
        <v>256</v>
      </c>
      <c r="P51" s="38" t="s">
        <v>256</v>
      </c>
      <c r="Q51" s="38" t="s">
        <v>256</v>
      </c>
      <c r="R51" s="38"/>
      <c r="T51" s="4"/>
      <c r="U51" s="4"/>
    </row>
    <row r="52" spans="1:21" x14ac:dyDescent="0.2">
      <c r="A52" s="48" t="s">
        <v>279</v>
      </c>
      <c r="B52" s="52">
        <f t="shared" si="2"/>
        <v>5.1678240740741732E-2</v>
      </c>
      <c r="C52" s="52">
        <f>'[1]Day 2-H'!$D$108</f>
        <v>0.48917824074074173</v>
      </c>
      <c r="D52" s="50">
        <f t="shared" si="13"/>
        <v>4.2245370370370683E-3</v>
      </c>
      <c r="E52" s="52">
        <f t="shared" si="5"/>
        <v>0.4934027777777788</v>
      </c>
      <c r="F52" s="47" t="s">
        <v>469</v>
      </c>
      <c r="G52" s="18" t="s">
        <v>269</v>
      </c>
      <c r="H52" s="18"/>
      <c r="I52" s="18" t="s">
        <v>254</v>
      </c>
      <c r="J52" s="18" t="s">
        <v>418</v>
      </c>
      <c r="K52" s="44" t="s">
        <v>470</v>
      </c>
      <c r="L52" s="105">
        <f t="shared" si="1"/>
        <v>0.48917824074074173</v>
      </c>
      <c r="M52" s="105">
        <f t="shared" si="4"/>
        <v>0.4934027777777788</v>
      </c>
      <c r="N52" s="38"/>
      <c r="O52" s="38" t="s">
        <v>256</v>
      </c>
      <c r="P52" s="38" t="s">
        <v>256</v>
      </c>
      <c r="Q52" s="38" t="s">
        <v>256</v>
      </c>
      <c r="R52" s="38"/>
      <c r="T52" s="4"/>
      <c r="U52" s="4"/>
    </row>
    <row r="53" spans="1:21" x14ac:dyDescent="0.2">
      <c r="A53" s="48" t="s">
        <v>279</v>
      </c>
      <c r="B53" s="52">
        <f t="shared" si="2"/>
        <v>5.59027777777788E-2</v>
      </c>
      <c r="C53" s="52">
        <f>'[1]Day 2-H'!$D$111</f>
        <v>0.4934027777777788</v>
      </c>
      <c r="D53" s="50">
        <f t="shared" si="13"/>
        <v>4.2361111111111627E-3</v>
      </c>
      <c r="E53" s="52">
        <f t="shared" si="5"/>
        <v>0.49763888888888996</v>
      </c>
      <c r="F53" s="47" t="s">
        <v>471</v>
      </c>
      <c r="G53" s="18" t="s">
        <v>269</v>
      </c>
      <c r="H53" s="18"/>
      <c r="I53" s="18" t="s">
        <v>254</v>
      </c>
      <c r="J53" s="18" t="s">
        <v>418</v>
      </c>
      <c r="K53" s="44" t="s">
        <v>472</v>
      </c>
      <c r="L53" s="105">
        <f t="shared" si="1"/>
        <v>0.4934027777777788</v>
      </c>
      <c r="M53" s="105">
        <f t="shared" si="4"/>
        <v>0.49763888888888996</v>
      </c>
      <c r="N53" s="38"/>
      <c r="O53" s="38" t="s">
        <v>256</v>
      </c>
      <c r="P53" s="38" t="s">
        <v>256</v>
      </c>
      <c r="Q53" s="38" t="s">
        <v>256</v>
      </c>
      <c r="R53" s="38"/>
      <c r="T53" s="4"/>
      <c r="U53" s="4"/>
    </row>
    <row r="54" spans="1:21" s="5" customFormat="1" x14ac:dyDescent="0.2">
      <c r="A54" s="48" t="s">
        <v>279</v>
      </c>
      <c r="B54" s="52">
        <f t="shared" si="2"/>
        <v>6.0138888888889963E-2</v>
      </c>
      <c r="C54" s="52">
        <f>'[1]Day 2-H'!$D$115</f>
        <v>0.49763888888888996</v>
      </c>
      <c r="D54" s="50">
        <f t="shared" si="3"/>
        <v>1.041666666666663E-3</v>
      </c>
      <c r="E54" s="52">
        <f>'[1]Day 2-H'!$D$116</f>
        <v>0.49868055555555663</v>
      </c>
      <c r="F54" s="18" t="s">
        <v>357</v>
      </c>
      <c r="G54" s="18" t="s">
        <v>269</v>
      </c>
      <c r="H54" s="18"/>
      <c r="I54" s="18" t="s">
        <v>254</v>
      </c>
      <c r="J54" s="18" t="s">
        <v>418</v>
      </c>
      <c r="K54" s="37"/>
      <c r="L54" s="105">
        <f t="shared" si="1"/>
        <v>0.49763888888888996</v>
      </c>
      <c r="M54" s="105">
        <f t="shared" si="4"/>
        <v>0.49868055555555663</v>
      </c>
      <c r="N54" s="38"/>
      <c r="O54" s="38" t="s">
        <v>256</v>
      </c>
      <c r="P54" s="38" t="s">
        <v>256</v>
      </c>
      <c r="Q54" s="38" t="s">
        <v>256</v>
      </c>
      <c r="R54" s="38"/>
      <c r="S54"/>
      <c r="T54" s="4"/>
      <c r="U54" s="4"/>
    </row>
    <row r="55" spans="1:21" x14ac:dyDescent="0.2">
      <c r="A55" s="93" t="s">
        <v>279</v>
      </c>
      <c r="B55" s="94"/>
      <c r="C55" s="94">
        <f>'[1]Day 2-H'!$D$116</f>
        <v>0.49868055555555663</v>
      </c>
      <c r="D55" s="93"/>
      <c r="E55" s="94"/>
      <c r="F55" s="20" t="s">
        <v>358</v>
      </c>
      <c r="G55" s="18"/>
      <c r="H55" s="18"/>
      <c r="I55" s="18" t="s">
        <v>254</v>
      </c>
      <c r="J55" s="18" t="s">
        <v>418</v>
      </c>
      <c r="K55" s="37"/>
      <c r="L55" s="105">
        <f t="shared" si="1"/>
        <v>0.49868055555555663</v>
      </c>
      <c r="M55" s="105"/>
      <c r="N55" s="38"/>
      <c r="O55" s="38" t="s">
        <v>256</v>
      </c>
      <c r="P55" s="38" t="s">
        <v>256</v>
      </c>
      <c r="Q55" s="38" t="s">
        <v>256</v>
      </c>
      <c r="R55" s="38" t="s">
        <v>256</v>
      </c>
      <c r="T55" s="4"/>
      <c r="U55" s="4"/>
    </row>
    <row r="56" spans="1:21" s="5" customFormat="1" x14ac:dyDescent="0.2">
      <c r="A56" s="46" t="s">
        <v>279</v>
      </c>
      <c r="B56" s="55"/>
      <c r="C56" s="64">
        <v>0.5</v>
      </c>
      <c r="D56" s="46"/>
      <c r="E56" s="55"/>
      <c r="F56" s="33" t="s">
        <v>62</v>
      </c>
      <c r="G56" s="45"/>
      <c r="H56" s="45"/>
      <c r="I56" s="45" t="s">
        <v>254</v>
      </c>
      <c r="J56" s="45" t="s">
        <v>418</v>
      </c>
      <c r="K56" s="45"/>
      <c r="L56" s="106">
        <f t="shared" si="1"/>
        <v>0.5</v>
      </c>
      <c r="M56" s="106"/>
      <c r="N56" s="46"/>
      <c r="O56" s="46" t="s">
        <v>256</v>
      </c>
      <c r="P56" s="46" t="s">
        <v>256</v>
      </c>
      <c r="Q56" s="46" t="s">
        <v>256</v>
      </c>
      <c r="R56" s="46" t="s">
        <v>256</v>
      </c>
      <c r="S56"/>
      <c r="T56" s="4"/>
      <c r="U56" s="4"/>
    </row>
    <row r="57" spans="1:21" s="5" customFormat="1" x14ac:dyDescent="0.2">
      <c r="A57" s="48" t="s">
        <v>279</v>
      </c>
      <c r="B57" s="52">
        <f t="shared" ref="B57:B62" si="14">C57-$C$26</f>
        <v>6.25E-2</v>
      </c>
      <c r="C57" s="52">
        <f>C56</f>
        <v>0.5</v>
      </c>
      <c r="D57" s="50">
        <f t="shared" si="3"/>
        <v>4.166666666666663E-2</v>
      </c>
      <c r="E57" s="52">
        <f>$C$57+TIME(1,0,0)</f>
        <v>0.54166666666666663</v>
      </c>
      <c r="F57" s="47" t="s">
        <v>359</v>
      </c>
      <c r="G57" s="18" t="s">
        <v>264</v>
      </c>
      <c r="H57" s="18"/>
      <c r="I57" s="18" t="s">
        <v>254</v>
      </c>
      <c r="J57" s="37"/>
      <c r="K57" s="37"/>
      <c r="L57" s="37"/>
      <c r="M57" s="37"/>
      <c r="N57" s="38"/>
      <c r="O57" s="38"/>
      <c r="P57" s="38"/>
      <c r="Q57" s="38"/>
      <c r="R57" s="38" t="s">
        <v>256</v>
      </c>
      <c r="S57"/>
      <c r="T57" s="4"/>
      <c r="U57" s="4"/>
    </row>
    <row r="58" spans="1:21" s="5" customFormat="1" x14ac:dyDescent="0.2">
      <c r="A58" s="48" t="s">
        <v>279</v>
      </c>
      <c r="B58" s="52">
        <f t="shared" si="14"/>
        <v>0.125</v>
      </c>
      <c r="C58" s="52">
        <v>0.5625</v>
      </c>
      <c r="D58" s="50">
        <f t="shared" si="3"/>
        <v>0.1875</v>
      </c>
      <c r="E58" s="52">
        <v>0.75</v>
      </c>
      <c r="F58" s="63" t="s">
        <v>360</v>
      </c>
      <c r="G58" s="18" t="s">
        <v>266</v>
      </c>
      <c r="H58" s="18"/>
      <c r="I58" s="18" t="s">
        <v>254</v>
      </c>
      <c r="J58" s="37"/>
      <c r="K58" s="37"/>
      <c r="L58" s="37"/>
      <c r="M58" s="37"/>
      <c r="N58" s="38"/>
      <c r="O58" s="38"/>
      <c r="P58" s="38"/>
      <c r="Q58" s="38"/>
      <c r="R58" s="38" t="s">
        <v>256</v>
      </c>
      <c r="S58"/>
      <c r="T58" s="4"/>
      <c r="U58" s="4"/>
    </row>
    <row r="59" spans="1:21" s="5" customFormat="1" x14ac:dyDescent="0.2">
      <c r="A59" s="48" t="s">
        <v>279</v>
      </c>
      <c r="B59" s="52">
        <f t="shared" si="14"/>
        <v>7.9861111111111049E-2</v>
      </c>
      <c r="C59" s="52">
        <v>0.51736111111111105</v>
      </c>
      <c r="D59" s="48"/>
      <c r="E59" s="52"/>
      <c r="F59" s="47" t="s">
        <v>65</v>
      </c>
      <c r="G59" s="18"/>
      <c r="H59" s="18"/>
      <c r="I59" s="18" t="s">
        <v>254</v>
      </c>
      <c r="J59" s="37"/>
      <c r="K59" s="37"/>
      <c r="L59" s="37"/>
      <c r="M59" s="37"/>
      <c r="N59" s="38"/>
      <c r="O59" s="38"/>
      <c r="P59" s="38"/>
      <c r="Q59" s="38"/>
      <c r="R59" s="38"/>
      <c r="S59"/>
      <c r="T59" s="4"/>
      <c r="U59" s="4"/>
    </row>
    <row r="60" spans="1:21" s="5" customFormat="1" x14ac:dyDescent="0.2">
      <c r="A60" s="48" t="s">
        <v>279</v>
      </c>
      <c r="B60" s="52">
        <f t="shared" si="14"/>
        <v>8.333333333333337E-2</v>
      </c>
      <c r="C60" s="52">
        <f>$C$56+TIME(0,30,0)</f>
        <v>0.52083333333333337</v>
      </c>
      <c r="D60" s="48"/>
      <c r="E60" s="52"/>
      <c r="F60" s="47" t="s">
        <v>361</v>
      </c>
      <c r="G60" s="18" t="s">
        <v>271</v>
      </c>
      <c r="H60" s="18"/>
      <c r="I60" s="18" t="s">
        <v>254</v>
      </c>
      <c r="J60" s="37"/>
      <c r="K60" s="37"/>
      <c r="L60" s="37"/>
      <c r="M60" s="37"/>
      <c r="N60" s="38"/>
      <c r="O60" s="38"/>
      <c r="P60" s="38"/>
      <c r="Q60" s="38"/>
      <c r="R60" s="38" t="s">
        <v>256</v>
      </c>
      <c r="S60"/>
      <c r="T60" s="4"/>
      <c r="U60" s="4"/>
    </row>
    <row r="61" spans="1:21" s="5" customFormat="1" x14ac:dyDescent="0.2">
      <c r="A61" s="48" t="s">
        <v>279</v>
      </c>
      <c r="B61" s="52">
        <f t="shared" si="14"/>
        <v>9.375E-2</v>
      </c>
      <c r="C61" s="52">
        <f>$C$56+TIME(0,45,0)</f>
        <v>0.53125</v>
      </c>
      <c r="D61" s="48"/>
      <c r="E61" s="52"/>
      <c r="F61" s="18" t="s">
        <v>362</v>
      </c>
      <c r="G61" s="18" t="s">
        <v>271</v>
      </c>
      <c r="H61" s="18"/>
      <c r="I61" s="18" t="s">
        <v>254</v>
      </c>
      <c r="J61" s="37"/>
      <c r="K61" s="37"/>
      <c r="L61" s="37"/>
      <c r="M61" s="37"/>
      <c r="N61" s="38"/>
      <c r="O61" s="38"/>
      <c r="P61" s="38"/>
      <c r="Q61" s="38"/>
      <c r="R61" s="38" t="s">
        <v>256</v>
      </c>
      <c r="S61"/>
      <c r="T61" s="4"/>
      <c r="U61" s="4"/>
    </row>
    <row r="62" spans="1:21" s="5" customFormat="1" x14ac:dyDescent="0.2">
      <c r="A62" s="48" t="s">
        <v>279</v>
      </c>
      <c r="B62" s="52">
        <f t="shared" si="14"/>
        <v>0.10416666666666663</v>
      </c>
      <c r="C62" s="52">
        <f>$C$57+TIME(1,0,0)</f>
        <v>0.54166666666666663</v>
      </c>
      <c r="D62" s="48"/>
      <c r="E62" s="52"/>
      <c r="F62" s="47" t="s">
        <v>363</v>
      </c>
      <c r="G62" s="18"/>
      <c r="H62" s="18"/>
      <c r="I62" s="18" t="s">
        <v>254</v>
      </c>
      <c r="J62" s="37"/>
      <c r="K62" s="37"/>
      <c r="L62" s="37"/>
      <c r="M62" s="37"/>
      <c r="N62" s="38"/>
      <c r="O62" s="38"/>
      <c r="P62" s="38"/>
      <c r="Q62" s="38"/>
      <c r="R62" s="38" t="s">
        <v>256</v>
      </c>
      <c r="S62"/>
      <c r="T62" s="4"/>
      <c r="U62" s="4"/>
    </row>
    <row r="63" spans="1:21" s="5" customFormat="1" x14ac:dyDescent="0.2">
      <c r="A63" s="58"/>
      <c r="B63" s="59"/>
      <c r="C63" s="59"/>
      <c r="D63" s="58"/>
      <c r="E63" s="59"/>
      <c r="F63" s="60"/>
      <c r="G63" s="60"/>
      <c r="H63" s="60"/>
      <c r="I63" s="60" t="s">
        <v>254</v>
      </c>
      <c r="J63" s="60"/>
      <c r="K63" s="60"/>
      <c r="L63" s="60"/>
      <c r="M63" s="60"/>
      <c r="N63" s="58"/>
      <c r="O63" s="58"/>
      <c r="P63" s="58"/>
      <c r="Q63" s="58"/>
      <c r="R63" s="58"/>
      <c r="S63"/>
      <c r="T63" s="4"/>
      <c r="U63" s="4"/>
    </row>
    <row r="64" spans="1:21" s="5" customFormat="1" ht="14.25" customHeight="1" x14ac:dyDescent="0.2">
      <c r="A64" s="48" t="s">
        <v>252</v>
      </c>
      <c r="B64" s="52">
        <f>$C$77-C64</f>
        <v>0.15069444444444458</v>
      </c>
      <c r="C64" s="52">
        <f>$C$74-TIME(3,30,0)</f>
        <v>0.64583333333333326</v>
      </c>
      <c r="D64" s="48"/>
      <c r="E64" s="52"/>
      <c r="F64" s="39" t="s">
        <v>257</v>
      </c>
      <c r="G64" s="18"/>
      <c r="H64" s="18"/>
      <c r="I64" s="18" t="s">
        <v>254</v>
      </c>
      <c r="J64" s="37"/>
      <c r="K64" s="37"/>
      <c r="L64" s="37"/>
      <c r="M64" s="37"/>
      <c r="N64" s="38"/>
      <c r="O64" s="38"/>
      <c r="P64" s="38"/>
      <c r="Q64" s="38"/>
      <c r="R64" s="38"/>
      <c r="S64"/>
      <c r="T64" s="4"/>
      <c r="U64" s="4"/>
    </row>
    <row r="65" spans="1:21" s="5" customFormat="1" x14ac:dyDescent="0.2">
      <c r="A65" s="48" t="s">
        <v>252</v>
      </c>
      <c r="B65" s="52">
        <f>$C$77-C65</f>
        <v>0.10902777777777783</v>
      </c>
      <c r="C65" s="52">
        <f>$C$74-TIME(2,30,0)</f>
        <v>0.6875</v>
      </c>
      <c r="D65" s="50">
        <f t="shared" ref="D65" si="15">E65-C65</f>
        <v>9.375E-2</v>
      </c>
      <c r="E65" s="52">
        <f>$C$74-TIME(0,15,0)</f>
        <v>0.78125</v>
      </c>
      <c r="F65" s="18" t="s">
        <v>365</v>
      </c>
      <c r="G65" s="18" t="s">
        <v>269</v>
      </c>
      <c r="H65" s="18"/>
      <c r="I65" s="18" t="s">
        <v>254</v>
      </c>
      <c r="J65" s="37"/>
      <c r="K65" s="37"/>
      <c r="L65" s="37"/>
      <c r="M65" s="37"/>
      <c r="N65" s="38"/>
      <c r="O65" s="38"/>
      <c r="P65" s="38"/>
      <c r="Q65" s="38"/>
      <c r="R65" s="38" t="s">
        <v>256</v>
      </c>
      <c r="S65"/>
      <c r="T65" s="4"/>
      <c r="U65" s="4"/>
    </row>
    <row r="66" spans="1:21" s="5" customFormat="1" x14ac:dyDescent="0.2">
      <c r="A66" s="48" t="s">
        <v>252</v>
      </c>
      <c r="B66" s="52">
        <f>$C$77-C66</f>
        <v>8.8194444444444575E-2</v>
      </c>
      <c r="C66" s="52">
        <f>$C$74-TIME(2,0,0)</f>
        <v>0.70833333333333326</v>
      </c>
      <c r="D66" s="48"/>
      <c r="E66" s="52"/>
      <c r="F66" s="18" t="s">
        <v>473</v>
      </c>
      <c r="G66" s="18" t="s">
        <v>271</v>
      </c>
      <c r="H66" s="18"/>
      <c r="I66" s="18" t="s">
        <v>254</v>
      </c>
      <c r="J66" s="37"/>
      <c r="K66" s="37"/>
      <c r="L66" s="37"/>
      <c r="M66" s="37"/>
      <c r="N66" s="38"/>
      <c r="O66" s="38"/>
      <c r="P66" s="38"/>
      <c r="Q66" s="38"/>
      <c r="R66" s="38" t="s">
        <v>256</v>
      </c>
      <c r="S66"/>
      <c r="T66" s="4"/>
      <c r="U66" s="4"/>
    </row>
    <row r="67" spans="1:21" s="5" customFormat="1" x14ac:dyDescent="0.2">
      <c r="A67" s="48" t="s">
        <v>252</v>
      </c>
      <c r="B67" s="52">
        <f>$C$77-C67</f>
        <v>5.6944444444444575E-2</v>
      </c>
      <c r="C67" s="52">
        <f>$C$74-TIME(1,15,0)</f>
        <v>0.73958333333333326</v>
      </c>
      <c r="D67" s="48"/>
      <c r="E67" s="52"/>
      <c r="F67" s="18" t="s">
        <v>366</v>
      </c>
      <c r="G67" s="18" t="s">
        <v>271</v>
      </c>
      <c r="H67" s="18"/>
      <c r="I67" s="18" t="s">
        <v>254</v>
      </c>
      <c r="J67" s="37"/>
      <c r="K67" s="37"/>
      <c r="L67" s="37"/>
      <c r="M67" s="37"/>
      <c r="N67" s="38"/>
      <c r="O67" s="38"/>
      <c r="P67" s="38"/>
      <c r="Q67" s="38"/>
      <c r="R67" s="38" t="s">
        <v>256</v>
      </c>
      <c r="S67"/>
      <c r="T67" s="4"/>
      <c r="U67" s="4"/>
    </row>
    <row r="68" spans="1:21" s="5" customFormat="1" x14ac:dyDescent="0.2">
      <c r="A68" s="48" t="s">
        <v>252</v>
      </c>
      <c r="B68" s="52">
        <f>$C$77-C68</f>
        <v>4.6527777777777835E-2</v>
      </c>
      <c r="C68" s="52">
        <f>$C$74-TIME(1,0,0)</f>
        <v>0.75</v>
      </c>
      <c r="D68" s="48"/>
      <c r="E68" s="52"/>
      <c r="F68" s="18" t="s">
        <v>52</v>
      </c>
      <c r="G68" s="18" t="s">
        <v>271</v>
      </c>
      <c r="H68" s="18"/>
      <c r="I68" s="18" t="s">
        <v>254</v>
      </c>
      <c r="J68" s="37"/>
      <c r="K68" s="37"/>
      <c r="L68" s="37"/>
      <c r="M68" s="37"/>
      <c r="N68" s="38"/>
      <c r="O68" s="38"/>
      <c r="P68" s="38"/>
      <c r="Q68" s="38"/>
      <c r="R68" s="38" t="s">
        <v>256</v>
      </c>
      <c r="S68"/>
      <c r="T68" s="4"/>
      <c r="U68" s="4"/>
    </row>
    <row r="69" spans="1:21" s="5" customFormat="1" x14ac:dyDescent="0.2">
      <c r="A69" s="48" t="s">
        <v>252</v>
      </c>
      <c r="B69" s="52"/>
      <c r="C69" s="52">
        <v>0.70833333333333337</v>
      </c>
      <c r="D69" s="48"/>
      <c r="E69" s="52"/>
      <c r="F69" s="20" t="s">
        <v>53</v>
      </c>
      <c r="G69" s="18"/>
      <c r="H69" s="18"/>
      <c r="I69" s="18" t="s">
        <v>254</v>
      </c>
      <c r="J69" s="37"/>
      <c r="K69" s="37"/>
      <c r="L69" s="37"/>
      <c r="M69" s="37"/>
      <c r="N69" s="38"/>
      <c r="O69" s="38"/>
      <c r="P69" s="38"/>
      <c r="Q69" s="38"/>
      <c r="R69" s="38" t="s">
        <v>256</v>
      </c>
      <c r="S69"/>
      <c r="T69" s="4"/>
      <c r="U69" s="4"/>
    </row>
    <row r="70" spans="1:21" s="5" customFormat="1" x14ac:dyDescent="0.2">
      <c r="A70" s="48" t="s">
        <v>252</v>
      </c>
      <c r="B70" s="52"/>
      <c r="C70" s="52">
        <v>0.72916666666666663</v>
      </c>
      <c r="D70" s="48"/>
      <c r="E70" s="52"/>
      <c r="F70" s="18" t="s">
        <v>55</v>
      </c>
      <c r="G70" s="18" t="s">
        <v>39</v>
      </c>
      <c r="H70" s="18"/>
      <c r="I70" s="18" t="s">
        <v>254</v>
      </c>
      <c r="J70" s="37"/>
      <c r="K70" s="37"/>
      <c r="L70" s="37"/>
      <c r="M70" s="37"/>
      <c r="N70" s="38"/>
      <c r="O70" s="38"/>
      <c r="P70" s="38"/>
      <c r="Q70" s="38"/>
      <c r="R70" s="38" t="s">
        <v>256</v>
      </c>
      <c r="S70"/>
      <c r="T70" s="4"/>
      <c r="U70" s="4"/>
    </row>
    <row r="71" spans="1:21" s="5" customFormat="1" x14ac:dyDescent="0.2">
      <c r="A71" s="48" t="s">
        <v>252</v>
      </c>
      <c r="B71" s="52"/>
      <c r="C71" s="52"/>
      <c r="D71" s="48"/>
      <c r="E71" s="52">
        <v>0.75</v>
      </c>
      <c r="F71" s="62" t="s">
        <v>367</v>
      </c>
      <c r="G71" s="18" t="s">
        <v>266</v>
      </c>
      <c r="H71" s="18"/>
      <c r="I71" s="18" t="s">
        <v>254</v>
      </c>
      <c r="J71" s="37"/>
      <c r="K71" s="37"/>
      <c r="L71" s="37"/>
      <c r="M71" s="37"/>
      <c r="N71" s="38"/>
      <c r="O71" s="38"/>
      <c r="P71" s="38"/>
      <c r="Q71" s="38"/>
      <c r="R71" s="38" t="s">
        <v>256</v>
      </c>
      <c r="S71"/>
      <c r="T71" s="4"/>
      <c r="U71" s="4"/>
    </row>
    <row r="72" spans="1:21" s="5" customFormat="1" x14ac:dyDescent="0.2">
      <c r="A72" s="48" t="s">
        <v>252</v>
      </c>
      <c r="B72" s="52"/>
      <c r="C72" s="52"/>
      <c r="D72" s="48"/>
      <c r="E72" s="52">
        <f>$C$74-TIME(0,15,0)</f>
        <v>0.78125</v>
      </c>
      <c r="F72" s="18" t="s">
        <v>274</v>
      </c>
      <c r="G72" s="18" t="s">
        <v>269</v>
      </c>
      <c r="H72" s="18"/>
      <c r="I72" s="18" t="s">
        <v>254</v>
      </c>
      <c r="J72" s="37"/>
      <c r="K72" s="37"/>
      <c r="L72" s="37"/>
      <c r="M72" s="37"/>
      <c r="N72" s="38"/>
      <c r="O72" s="38"/>
      <c r="P72" s="38"/>
      <c r="Q72" s="38"/>
      <c r="R72" s="38" t="s">
        <v>256</v>
      </c>
      <c r="S72"/>
      <c r="T72" s="4"/>
      <c r="U72" s="4"/>
    </row>
    <row r="73" spans="1:21" s="5" customFormat="1" x14ac:dyDescent="0.2">
      <c r="A73" s="48" t="s">
        <v>252</v>
      </c>
      <c r="B73" s="52">
        <f>$C$77-C73</f>
        <v>1.5277777777777835E-2</v>
      </c>
      <c r="C73" s="52">
        <f>$C$74-TIME(0,15,0)</f>
        <v>0.78125</v>
      </c>
      <c r="D73" s="50">
        <f>E73-C73</f>
        <v>0.12847222222222221</v>
      </c>
      <c r="E73" s="52">
        <v>0.90972222222222221</v>
      </c>
      <c r="F73" s="18" t="s">
        <v>56</v>
      </c>
      <c r="G73" s="18" t="s">
        <v>269</v>
      </c>
      <c r="H73" s="18"/>
      <c r="I73" s="18" t="s">
        <v>254</v>
      </c>
      <c r="J73" s="37"/>
      <c r="K73" s="37"/>
      <c r="L73" s="37"/>
      <c r="M73" s="37"/>
      <c r="N73" s="38"/>
      <c r="O73" s="38"/>
      <c r="P73" s="38"/>
      <c r="Q73" s="38"/>
      <c r="R73" s="38" t="s">
        <v>256</v>
      </c>
      <c r="S73"/>
      <c r="T73" s="4"/>
      <c r="U73" s="4"/>
    </row>
    <row r="74" spans="1:21" s="5" customFormat="1" x14ac:dyDescent="0.2">
      <c r="A74" s="41" t="s">
        <v>252</v>
      </c>
      <c r="B74" s="53">
        <f>$C$77-C74</f>
        <v>4.8611111111112049E-3</v>
      </c>
      <c r="C74" s="65">
        <v>0.79166666666666663</v>
      </c>
      <c r="D74" s="41"/>
      <c r="E74" s="53"/>
      <c r="F74" s="31" t="s">
        <v>57</v>
      </c>
      <c r="G74" s="40"/>
      <c r="H74" s="40"/>
      <c r="I74" s="40" t="s">
        <v>254</v>
      </c>
      <c r="J74" s="40" t="s">
        <v>474</v>
      </c>
      <c r="K74" s="40"/>
      <c r="L74" s="103">
        <f t="shared" ref="L74:L106" si="16">C74</f>
        <v>0.79166666666666663</v>
      </c>
      <c r="M74" s="103"/>
      <c r="N74" s="41"/>
      <c r="O74" s="41"/>
      <c r="P74" s="41"/>
      <c r="Q74" s="41"/>
      <c r="R74" s="41" t="s">
        <v>256</v>
      </c>
      <c r="S74"/>
      <c r="T74" s="4"/>
      <c r="U74" s="4"/>
    </row>
    <row r="75" spans="1:21" s="5" customFormat="1" x14ac:dyDescent="0.2">
      <c r="A75" s="48" t="s">
        <v>252</v>
      </c>
      <c r="B75" s="52">
        <f>$C$77-C75</f>
        <v>3.4722222222222099E-3</v>
      </c>
      <c r="C75" s="52">
        <f>$C$77-TIME(0,5,0)</f>
        <v>0.79305555555555562</v>
      </c>
      <c r="D75" s="48"/>
      <c r="E75" s="52"/>
      <c r="F75" s="18" t="s">
        <v>275</v>
      </c>
      <c r="G75" s="18" t="s">
        <v>269</v>
      </c>
      <c r="H75" s="18"/>
      <c r="I75" s="18" t="s">
        <v>254</v>
      </c>
      <c r="J75" s="18" t="s">
        <v>474</v>
      </c>
      <c r="K75" s="37"/>
      <c r="L75" s="105">
        <f t="shared" si="16"/>
        <v>0.79305555555555562</v>
      </c>
      <c r="M75" s="105"/>
      <c r="N75" s="38"/>
      <c r="O75" s="38" t="s">
        <v>256</v>
      </c>
      <c r="P75" s="38" t="s">
        <v>256</v>
      </c>
      <c r="Q75" s="38" t="s">
        <v>256</v>
      </c>
      <c r="R75" s="38"/>
      <c r="S75"/>
      <c r="T75" s="4"/>
      <c r="U75" s="4"/>
    </row>
    <row r="76" spans="1:21" s="5" customFormat="1" x14ac:dyDescent="0.2">
      <c r="A76" s="48" t="s">
        <v>252</v>
      </c>
      <c r="B76" s="52">
        <f>$C$77-C76</f>
        <v>1.0416666666667185E-3</v>
      </c>
      <c r="C76" s="52">
        <f>$C$77-TIME(0,1,30)</f>
        <v>0.79548611111111112</v>
      </c>
      <c r="D76" s="52">
        <f>E76-C76</f>
        <v>1.0416666666667185E-3</v>
      </c>
      <c r="E76" s="52">
        <f>$C$77</f>
        <v>0.79652777777777783</v>
      </c>
      <c r="F76" s="18" t="s">
        <v>277</v>
      </c>
      <c r="G76" s="18" t="s">
        <v>39</v>
      </c>
      <c r="H76" s="18"/>
      <c r="I76" s="18" t="s">
        <v>254</v>
      </c>
      <c r="J76" s="18" t="s">
        <v>474</v>
      </c>
      <c r="K76" s="37"/>
      <c r="L76" s="105">
        <f t="shared" si="16"/>
        <v>0.79548611111111112</v>
      </c>
      <c r="M76" s="105">
        <f t="shared" ref="M76:M104" si="17">E76</f>
        <v>0.79652777777777783</v>
      </c>
      <c r="N76" s="38"/>
      <c r="O76" s="38" t="s">
        <v>256</v>
      </c>
      <c r="P76" s="38" t="s">
        <v>256</v>
      </c>
      <c r="Q76" s="38" t="s">
        <v>256</v>
      </c>
      <c r="R76" s="38"/>
      <c r="S76"/>
      <c r="T76" s="4"/>
      <c r="U76" s="4"/>
    </row>
    <row r="77" spans="1:21" s="5" customFormat="1" x14ac:dyDescent="0.2">
      <c r="A77" s="43"/>
      <c r="B77" s="43"/>
      <c r="C77" s="57">
        <v>0.79652777777777783</v>
      </c>
      <c r="D77" s="43"/>
      <c r="E77" s="54"/>
      <c r="F77" s="32" t="s">
        <v>60</v>
      </c>
      <c r="G77" s="42"/>
      <c r="H77" s="42"/>
      <c r="I77" s="42" t="s">
        <v>254</v>
      </c>
      <c r="J77" s="42" t="s">
        <v>474</v>
      </c>
      <c r="K77" s="42"/>
      <c r="L77" s="104">
        <f t="shared" si="16"/>
        <v>0.79652777777777783</v>
      </c>
      <c r="M77" s="104"/>
      <c r="N77" s="43"/>
      <c r="O77" s="43" t="s">
        <v>256</v>
      </c>
      <c r="P77" s="43" t="s">
        <v>256</v>
      </c>
      <c r="Q77" s="43" t="s">
        <v>256</v>
      </c>
      <c r="R77" s="43" t="s">
        <v>256</v>
      </c>
      <c r="S77"/>
      <c r="T77" s="4"/>
      <c r="U77" s="4"/>
    </row>
    <row r="78" spans="1:21" s="5" customFormat="1" x14ac:dyDescent="0.2">
      <c r="A78" s="48" t="s">
        <v>279</v>
      </c>
      <c r="B78" s="52">
        <f>C78-$C$77</f>
        <v>0</v>
      </c>
      <c r="C78" s="52">
        <f>'[1]Day 2-F'!$C$11</f>
        <v>0.79652777777777783</v>
      </c>
      <c r="D78" s="50">
        <f t="shared" ref="D78:D107" si="18">E78-C78</f>
        <v>3.9930555555556246E-3</v>
      </c>
      <c r="E78" s="52">
        <f>C79</f>
        <v>0.80052083333333346</v>
      </c>
      <c r="F78" s="7" t="s">
        <v>475</v>
      </c>
      <c r="G78" s="18" t="s">
        <v>269</v>
      </c>
      <c r="H78" s="18"/>
      <c r="I78" s="18" t="s">
        <v>254</v>
      </c>
      <c r="J78" s="18" t="s">
        <v>474</v>
      </c>
      <c r="K78" s="61" t="s">
        <v>476</v>
      </c>
      <c r="L78" s="107">
        <f t="shared" si="16"/>
        <v>0.79652777777777783</v>
      </c>
      <c r="M78" s="105">
        <f t="shared" si="17"/>
        <v>0.80052083333333346</v>
      </c>
      <c r="N78" s="38"/>
      <c r="O78" s="38" t="s">
        <v>256</v>
      </c>
      <c r="P78" s="38" t="s">
        <v>256</v>
      </c>
      <c r="Q78" s="38" t="s">
        <v>256</v>
      </c>
      <c r="R78" s="38"/>
      <c r="S78"/>
      <c r="T78" s="4"/>
      <c r="U78" s="4"/>
    </row>
    <row r="79" spans="1:21" s="5" customFormat="1" x14ac:dyDescent="0.2">
      <c r="A79" s="48" t="s">
        <v>279</v>
      </c>
      <c r="B79" s="52">
        <f t="shared" ref="B79:B98" si="19">C79-$C$77</f>
        <v>3.9930555555556246E-3</v>
      </c>
      <c r="C79" s="52">
        <f>'[1]Day 2-F'!$C$15</f>
        <v>0.80052083333333346</v>
      </c>
      <c r="D79" s="50">
        <f t="shared" si="18"/>
        <v>4.0740740740741188E-3</v>
      </c>
      <c r="E79" s="52">
        <f t="shared" ref="E79:E104" si="20">C80</f>
        <v>0.80459490740740758</v>
      </c>
      <c r="F79" s="7" t="s">
        <v>477</v>
      </c>
      <c r="G79" s="18" t="s">
        <v>269</v>
      </c>
      <c r="H79" s="18"/>
      <c r="I79" s="18" t="s">
        <v>254</v>
      </c>
      <c r="J79" s="18" t="s">
        <v>474</v>
      </c>
      <c r="K79" s="61" t="s">
        <v>478</v>
      </c>
      <c r="L79" s="107">
        <f t="shared" si="16"/>
        <v>0.80052083333333346</v>
      </c>
      <c r="M79" s="105">
        <f t="shared" si="17"/>
        <v>0.80459490740740758</v>
      </c>
      <c r="N79" s="38"/>
      <c r="O79" s="38" t="s">
        <v>256</v>
      </c>
      <c r="P79" s="38" t="s">
        <v>256</v>
      </c>
      <c r="Q79" s="38" t="s">
        <v>256</v>
      </c>
      <c r="R79" s="38"/>
      <c r="S79"/>
      <c r="T79" s="4"/>
      <c r="U79" s="4"/>
    </row>
    <row r="80" spans="1:21" s="5" customFormat="1" x14ac:dyDescent="0.2">
      <c r="A80" s="48" t="s">
        <v>279</v>
      </c>
      <c r="B80" s="52">
        <f t="shared" si="19"/>
        <v>8.0671296296297434E-3</v>
      </c>
      <c r="C80" s="52">
        <f>'[1]Day 2-F'!$C$19</f>
        <v>0.80459490740740758</v>
      </c>
      <c r="D80" s="50">
        <f t="shared" si="18"/>
        <v>3.6689814814815369E-3</v>
      </c>
      <c r="E80" s="52">
        <f t="shared" si="20"/>
        <v>0.80826388888888911</v>
      </c>
      <c r="F80" s="18" t="s">
        <v>479</v>
      </c>
      <c r="G80" s="18" t="s">
        <v>269</v>
      </c>
      <c r="H80" s="18"/>
      <c r="I80" s="18" t="s">
        <v>254</v>
      </c>
      <c r="J80" s="18" t="s">
        <v>474</v>
      </c>
      <c r="K80" s="61" t="s">
        <v>480</v>
      </c>
      <c r="L80" s="107">
        <f t="shared" si="16"/>
        <v>0.80459490740740758</v>
      </c>
      <c r="M80" s="105">
        <f t="shared" si="17"/>
        <v>0.80826388888888911</v>
      </c>
      <c r="N80" s="38"/>
      <c r="O80" s="38" t="s">
        <v>256</v>
      </c>
      <c r="P80" s="38" t="s">
        <v>256</v>
      </c>
      <c r="Q80" s="38" t="s">
        <v>256</v>
      </c>
      <c r="R80" s="38"/>
      <c r="S80"/>
      <c r="T80" s="4"/>
      <c r="U80" s="4"/>
    </row>
    <row r="81" spans="1:21" s="5" customFormat="1" x14ac:dyDescent="0.2">
      <c r="A81" s="48" t="s">
        <v>279</v>
      </c>
      <c r="B81" s="52">
        <f t="shared" si="19"/>
        <v>1.173611111111128E-2</v>
      </c>
      <c r="C81" s="52">
        <f>'[1]Day 2-F'!$C$23</f>
        <v>0.80826388888888911</v>
      </c>
      <c r="D81" s="50">
        <f t="shared" si="18"/>
        <v>3.4953703703703987E-3</v>
      </c>
      <c r="E81" s="52">
        <f t="shared" si="20"/>
        <v>0.81175925925925951</v>
      </c>
      <c r="F81" s="18" t="s">
        <v>481</v>
      </c>
      <c r="G81" s="18" t="s">
        <v>269</v>
      </c>
      <c r="H81" s="18"/>
      <c r="I81" s="18" t="s">
        <v>254</v>
      </c>
      <c r="J81" s="18" t="s">
        <v>474</v>
      </c>
      <c r="K81" s="44" t="s">
        <v>482</v>
      </c>
      <c r="L81" s="107">
        <f t="shared" si="16"/>
        <v>0.80826388888888911</v>
      </c>
      <c r="M81" s="105">
        <f t="shared" si="17"/>
        <v>0.81175925925925951</v>
      </c>
      <c r="N81" s="38"/>
      <c r="O81" s="38" t="s">
        <v>256</v>
      </c>
      <c r="P81" s="38" t="s">
        <v>256</v>
      </c>
      <c r="Q81" s="38" t="s">
        <v>256</v>
      </c>
      <c r="R81" s="38"/>
      <c r="S81"/>
      <c r="T81" s="4"/>
      <c r="U81" s="4"/>
    </row>
    <row r="82" spans="1:21" s="5" customFormat="1" x14ac:dyDescent="0.2">
      <c r="A82" s="48" t="s">
        <v>279</v>
      </c>
      <c r="B82" s="52">
        <f t="shared" si="19"/>
        <v>1.5231481481481679E-2</v>
      </c>
      <c r="C82" s="52">
        <f>'[1]Day 2-F'!$C$27</f>
        <v>0.81175925925925951</v>
      </c>
      <c r="D82" s="50">
        <f t="shared" si="18"/>
        <v>5.2083333333333703E-3</v>
      </c>
      <c r="E82" s="52">
        <f t="shared" si="20"/>
        <v>0.81696759259259288</v>
      </c>
      <c r="F82" s="34" t="s">
        <v>483</v>
      </c>
      <c r="G82" s="18" t="s">
        <v>269</v>
      </c>
      <c r="H82" s="18"/>
      <c r="I82" s="18" t="s">
        <v>254</v>
      </c>
      <c r="J82" s="18" t="s">
        <v>474</v>
      </c>
      <c r="K82" s="44" t="s">
        <v>484</v>
      </c>
      <c r="L82" s="107">
        <f t="shared" si="16"/>
        <v>0.81175925925925951</v>
      </c>
      <c r="M82" s="105">
        <f t="shared" si="17"/>
        <v>0.81696759259259288</v>
      </c>
      <c r="N82" s="38"/>
      <c r="O82" s="38" t="s">
        <v>256</v>
      </c>
      <c r="P82" s="38" t="s">
        <v>256</v>
      </c>
      <c r="Q82" s="38" t="s">
        <v>256</v>
      </c>
      <c r="R82" s="38"/>
      <c r="S82"/>
      <c r="T82" s="4"/>
      <c r="U82" s="4"/>
    </row>
    <row r="83" spans="1:21" s="5" customFormat="1" x14ac:dyDescent="0.2">
      <c r="A83" s="48" t="s">
        <v>279</v>
      </c>
      <c r="B83" s="52">
        <f t="shared" si="19"/>
        <v>2.0439814814815049E-2</v>
      </c>
      <c r="C83" s="52">
        <f>'[1]Day 2-F'!$C$28</f>
        <v>0.81696759259259288</v>
      </c>
      <c r="D83" s="50">
        <f t="shared" si="18"/>
        <v>5.2083333333333703E-3</v>
      </c>
      <c r="E83" s="52">
        <f t="shared" si="20"/>
        <v>0.82217592592592625</v>
      </c>
      <c r="F83" s="34" t="s">
        <v>485</v>
      </c>
      <c r="G83" s="18" t="s">
        <v>269</v>
      </c>
      <c r="H83" s="18"/>
      <c r="I83" s="18" t="s">
        <v>254</v>
      </c>
      <c r="J83" s="18" t="s">
        <v>474</v>
      </c>
      <c r="K83" s="44" t="s">
        <v>486</v>
      </c>
      <c r="L83" s="107">
        <f t="shared" si="16"/>
        <v>0.81696759259259288</v>
      </c>
      <c r="M83" s="105">
        <f t="shared" si="17"/>
        <v>0.82217592592592625</v>
      </c>
      <c r="N83" s="38"/>
      <c r="O83" s="38" t="s">
        <v>256</v>
      </c>
      <c r="P83" s="38" t="s">
        <v>256</v>
      </c>
      <c r="Q83" s="38" t="s">
        <v>256</v>
      </c>
      <c r="R83" s="38"/>
      <c r="S83"/>
      <c r="T83" s="4"/>
      <c r="U83" s="4"/>
    </row>
    <row r="84" spans="1:21" s="5" customFormat="1" x14ac:dyDescent="0.2">
      <c r="A84" s="48" t="s">
        <v>279</v>
      </c>
      <c r="B84" s="52">
        <f t="shared" si="19"/>
        <v>2.564814814814842E-2</v>
      </c>
      <c r="C84" s="52">
        <f>'[1]Day 2-F'!$C$29</f>
        <v>0.82217592592592625</v>
      </c>
      <c r="D84" s="50">
        <f t="shared" si="18"/>
        <v>4.9652777777778878E-3</v>
      </c>
      <c r="E84" s="52">
        <f t="shared" si="20"/>
        <v>0.82714120370370414</v>
      </c>
      <c r="F84" s="7" t="s">
        <v>487</v>
      </c>
      <c r="G84" s="18" t="s">
        <v>269</v>
      </c>
      <c r="H84" s="18"/>
      <c r="I84" s="18" t="s">
        <v>254</v>
      </c>
      <c r="J84" s="18" t="s">
        <v>474</v>
      </c>
      <c r="K84" s="44" t="s">
        <v>488</v>
      </c>
      <c r="L84" s="107">
        <f t="shared" si="16"/>
        <v>0.82217592592592625</v>
      </c>
      <c r="M84" s="105">
        <f t="shared" si="17"/>
        <v>0.82714120370370414</v>
      </c>
      <c r="N84" s="38"/>
      <c r="O84" s="38" t="s">
        <v>256</v>
      </c>
      <c r="P84" s="38" t="s">
        <v>256</v>
      </c>
      <c r="Q84" s="38" t="s">
        <v>256</v>
      </c>
      <c r="R84" s="38"/>
      <c r="S84"/>
      <c r="T84" s="4"/>
      <c r="U84" s="4"/>
    </row>
    <row r="85" spans="1:21" s="5" customFormat="1" x14ac:dyDescent="0.2">
      <c r="A85" s="48" t="s">
        <v>279</v>
      </c>
      <c r="B85" s="52">
        <f t="shared" si="19"/>
        <v>3.0613425925926308E-2</v>
      </c>
      <c r="C85" s="52">
        <f>'[1]Day 2-F'!$C$33</f>
        <v>0.82714120370370414</v>
      </c>
      <c r="D85" s="50">
        <f t="shared" si="18"/>
        <v>4.1666666666667629E-3</v>
      </c>
      <c r="E85" s="52">
        <f t="shared" si="20"/>
        <v>0.8313078703703709</v>
      </c>
      <c r="F85" s="7" t="s">
        <v>489</v>
      </c>
      <c r="G85" s="18" t="s">
        <v>269</v>
      </c>
      <c r="H85" s="18"/>
      <c r="I85" s="18" t="s">
        <v>254</v>
      </c>
      <c r="J85" s="18" t="s">
        <v>474</v>
      </c>
      <c r="K85" s="44" t="s">
        <v>490</v>
      </c>
      <c r="L85" s="107">
        <f t="shared" si="16"/>
        <v>0.82714120370370414</v>
      </c>
      <c r="M85" s="105">
        <f t="shared" si="17"/>
        <v>0.8313078703703709</v>
      </c>
      <c r="N85" s="38"/>
      <c r="O85" s="38" t="s">
        <v>256</v>
      </c>
      <c r="P85" s="38" t="s">
        <v>256</v>
      </c>
      <c r="Q85" s="38" t="s">
        <v>256</v>
      </c>
      <c r="R85" s="38"/>
      <c r="S85"/>
      <c r="T85" s="4"/>
      <c r="U85" s="4"/>
    </row>
    <row r="86" spans="1:21" s="5" customFormat="1" x14ac:dyDescent="0.2">
      <c r="A86" s="48" t="s">
        <v>279</v>
      </c>
      <c r="B86" s="52">
        <f t="shared" si="19"/>
        <v>3.478009259259307E-2</v>
      </c>
      <c r="C86" s="52">
        <f>'[1]Day 2-F'!$C$37</f>
        <v>0.8313078703703709</v>
      </c>
      <c r="D86" s="50">
        <f t="shared" si="18"/>
        <v>4.1666666666667629E-3</v>
      </c>
      <c r="E86" s="52">
        <f t="shared" si="20"/>
        <v>0.83547453703703767</v>
      </c>
      <c r="F86" s="7" t="s">
        <v>491</v>
      </c>
      <c r="G86" s="18" t="s">
        <v>269</v>
      </c>
      <c r="H86" s="18"/>
      <c r="I86" s="18" t="s">
        <v>254</v>
      </c>
      <c r="J86" s="18" t="s">
        <v>474</v>
      </c>
      <c r="K86" s="44" t="s">
        <v>492</v>
      </c>
      <c r="L86" s="107">
        <f t="shared" si="16"/>
        <v>0.8313078703703709</v>
      </c>
      <c r="M86" s="105">
        <f t="shared" si="17"/>
        <v>0.83547453703703767</v>
      </c>
      <c r="N86" s="38"/>
      <c r="O86" s="38" t="s">
        <v>256</v>
      </c>
      <c r="P86" s="38" t="s">
        <v>256</v>
      </c>
      <c r="Q86" s="38" t="s">
        <v>256</v>
      </c>
      <c r="R86" s="38"/>
      <c r="S86"/>
      <c r="T86" s="4"/>
      <c r="U86" s="4"/>
    </row>
    <row r="87" spans="1:21" s="5" customFormat="1" x14ac:dyDescent="0.2">
      <c r="A87" s="48" t="s">
        <v>279</v>
      </c>
      <c r="B87" s="52">
        <f t="shared" si="19"/>
        <v>3.8946759259259833E-2</v>
      </c>
      <c r="C87" s="52">
        <f>'[1]Day 2-F'!$C$41</f>
        <v>0.83547453703703767</v>
      </c>
      <c r="D87" s="50">
        <f t="shared" si="18"/>
        <v>4.1203703703703853E-3</v>
      </c>
      <c r="E87" s="52">
        <f t="shared" si="20"/>
        <v>0.83959490740740805</v>
      </c>
      <c r="F87" s="18" t="s">
        <v>493</v>
      </c>
      <c r="G87" s="18" t="s">
        <v>269</v>
      </c>
      <c r="H87" s="18"/>
      <c r="I87" s="18" t="s">
        <v>254</v>
      </c>
      <c r="J87" s="18" t="s">
        <v>474</v>
      </c>
      <c r="K87" s="44" t="s">
        <v>494</v>
      </c>
      <c r="L87" s="107">
        <f t="shared" si="16"/>
        <v>0.83547453703703767</v>
      </c>
      <c r="M87" s="105">
        <f t="shared" si="17"/>
        <v>0.83959490740740805</v>
      </c>
      <c r="N87" s="38"/>
      <c r="O87" s="38" t="s">
        <v>256</v>
      </c>
      <c r="P87" s="38" t="s">
        <v>256</v>
      </c>
      <c r="Q87" s="38" t="s">
        <v>256</v>
      </c>
      <c r="R87" s="38"/>
      <c r="S87"/>
      <c r="T87" s="4"/>
      <c r="U87" s="4"/>
    </row>
    <row r="88" spans="1:21" s="5" customFormat="1" x14ac:dyDescent="0.2">
      <c r="A88" s="48" t="s">
        <v>279</v>
      </c>
      <c r="B88" s="52">
        <f t="shared" si="19"/>
        <v>4.3067129629630219E-2</v>
      </c>
      <c r="C88" s="52">
        <f>'[1]Day 2-F'!$C$45</f>
        <v>0.83959490740740805</v>
      </c>
      <c r="D88" s="50">
        <f t="shared" si="18"/>
        <v>3.9467592592592471E-3</v>
      </c>
      <c r="E88" s="52">
        <f t="shared" si="20"/>
        <v>0.8435416666666673</v>
      </c>
      <c r="F88" s="18" t="s">
        <v>495</v>
      </c>
      <c r="G88" s="18" t="s">
        <v>269</v>
      </c>
      <c r="H88" s="18"/>
      <c r="I88" s="18" t="s">
        <v>254</v>
      </c>
      <c r="J88" s="18" t="s">
        <v>474</v>
      </c>
      <c r="K88" s="18" t="s">
        <v>496</v>
      </c>
      <c r="L88" s="105">
        <f t="shared" si="16"/>
        <v>0.83959490740740805</v>
      </c>
      <c r="M88" s="105">
        <f t="shared" si="17"/>
        <v>0.8435416666666673</v>
      </c>
      <c r="N88" s="38"/>
      <c r="O88" s="38" t="s">
        <v>256</v>
      </c>
      <c r="P88" s="38" t="s">
        <v>256</v>
      </c>
      <c r="Q88" s="38" t="s">
        <v>256</v>
      </c>
      <c r="R88" s="38"/>
      <c r="S88"/>
      <c r="T88" s="4"/>
      <c r="U88" s="4"/>
    </row>
    <row r="89" spans="1:21" s="5" customFormat="1" x14ac:dyDescent="0.2">
      <c r="A89" s="48" t="s">
        <v>279</v>
      </c>
      <c r="B89" s="52">
        <f t="shared" si="19"/>
        <v>4.7013888888889466E-2</v>
      </c>
      <c r="C89" s="52">
        <f>'[1]Day 2-F'!$C$49</f>
        <v>0.8435416666666673</v>
      </c>
      <c r="D89" s="50">
        <f t="shared" si="18"/>
        <v>5.2083333333333703E-3</v>
      </c>
      <c r="E89" s="52">
        <f t="shared" si="20"/>
        <v>0.84875000000000067</v>
      </c>
      <c r="F89" s="34" t="s">
        <v>497</v>
      </c>
      <c r="G89" s="18" t="s">
        <v>269</v>
      </c>
      <c r="H89" s="18"/>
      <c r="I89" s="18" t="s">
        <v>254</v>
      </c>
      <c r="J89" s="18" t="s">
        <v>474</v>
      </c>
      <c r="K89" s="18" t="s">
        <v>498</v>
      </c>
      <c r="L89" s="105">
        <f t="shared" si="16"/>
        <v>0.8435416666666673</v>
      </c>
      <c r="M89" s="105">
        <f t="shared" si="17"/>
        <v>0.84875000000000067</v>
      </c>
      <c r="N89" s="38"/>
      <c r="O89" s="38" t="s">
        <v>256</v>
      </c>
      <c r="P89" s="38" t="s">
        <v>256</v>
      </c>
      <c r="Q89" s="38" t="s">
        <v>256</v>
      </c>
      <c r="R89" s="38"/>
      <c r="S89"/>
      <c r="T89" s="4"/>
      <c r="U89" s="4"/>
    </row>
    <row r="90" spans="1:21" s="5" customFormat="1" x14ac:dyDescent="0.2">
      <c r="A90" s="48" t="s">
        <v>279</v>
      </c>
      <c r="B90" s="52">
        <f t="shared" si="19"/>
        <v>5.2222222222222836E-2</v>
      </c>
      <c r="C90" s="52">
        <f>'[1]Day 2-F'!$C$50</f>
        <v>0.84875000000000067</v>
      </c>
      <c r="D90" s="50">
        <f t="shared" si="18"/>
        <v>4.2129629629630294E-3</v>
      </c>
      <c r="E90" s="52">
        <f t="shared" si="20"/>
        <v>0.8529629629629637</v>
      </c>
      <c r="F90" s="18" t="s">
        <v>499</v>
      </c>
      <c r="G90" s="18" t="s">
        <v>269</v>
      </c>
      <c r="H90" s="18"/>
      <c r="I90" s="18" t="s">
        <v>254</v>
      </c>
      <c r="J90" s="18" t="s">
        <v>474</v>
      </c>
      <c r="K90" s="18" t="s">
        <v>500</v>
      </c>
      <c r="L90" s="105">
        <f t="shared" si="16"/>
        <v>0.84875000000000067</v>
      </c>
      <c r="M90" s="105">
        <f t="shared" si="17"/>
        <v>0.8529629629629637</v>
      </c>
      <c r="N90" s="38"/>
      <c r="O90" s="38" t="s">
        <v>256</v>
      </c>
      <c r="P90" s="38" t="s">
        <v>256</v>
      </c>
      <c r="Q90" s="38" t="s">
        <v>256</v>
      </c>
      <c r="R90" s="38"/>
      <c r="S90"/>
      <c r="T90" s="4"/>
      <c r="U90" s="4"/>
    </row>
    <row r="91" spans="1:21" s="5" customFormat="1" x14ac:dyDescent="0.2">
      <c r="A91" s="48" t="s">
        <v>279</v>
      </c>
      <c r="B91" s="52">
        <f t="shared" si="19"/>
        <v>5.6435185185185865E-2</v>
      </c>
      <c r="C91" s="52">
        <f>'[1]Day 2-F'!$C$54</f>
        <v>0.8529629629629637</v>
      </c>
      <c r="D91" s="50">
        <f t="shared" si="18"/>
        <v>4.0393518518518912E-3</v>
      </c>
      <c r="E91" s="52">
        <f t="shared" si="20"/>
        <v>0.85700231481481559</v>
      </c>
      <c r="F91" s="18" t="s">
        <v>501</v>
      </c>
      <c r="G91" s="18" t="s">
        <v>269</v>
      </c>
      <c r="H91" s="18"/>
      <c r="I91" s="18" t="s">
        <v>254</v>
      </c>
      <c r="J91" s="18" t="s">
        <v>474</v>
      </c>
      <c r="K91" s="18" t="s">
        <v>502</v>
      </c>
      <c r="L91" s="105">
        <f t="shared" si="16"/>
        <v>0.8529629629629637</v>
      </c>
      <c r="M91" s="105">
        <f t="shared" si="17"/>
        <v>0.85700231481481559</v>
      </c>
      <c r="N91" s="38"/>
      <c r="O91" s="38" t="s">
        <v>256</v>
      </c>
      <c r="P91" s="38" t="s">
        <v>256</v>
      </c>
      <c r="Q91" s="38" t="s">
        <v>256</v>
      </c>
      <c r="R91" s="38"/>
      <c r="S91"/>
      <c r="T91" s="4"/>
      <c r="U91" s="4"/>
    </row>
    <row r="92" spans="1:21" s="5" customFormat="1" x14ac:dyDescent="0.2">
      <c r="A92" s="48" t="s">
        <v>279</v>
      </c>
      <c r="B92" s="52">
        <f t="shared" si="19"/>
        <v>6.0474537037037757E-2</v>
      </c>
      <c r="C92" s="52">
        <f>'[1]Day 2-F'!$C$58</f>
        <v>0.85700231481481559</v>
      </c>
      <c r="D92" s="50">
        <f t="shared" si="18"/>
        <v>5.2083333333333703E-3</v>
      </c>
      <c r="E92" s="52">
        <f t="shared" si="20"/>
        <v>0.86221064814814896</v>
      </c>
      <c r="F92" s="34" t="s">
        <v>503</v>
      </c>
      <c r="G92" s="18" t="s">
        <v>269</v>
      </c>
      <c r="H92" s="18"/>
      <c r="I92" s="18" t="s">
        <v>254</v>
      </c>
      <c r="J92" s="18" t="s">
        <v>474</v>
      </c>
      <c r="K92" s="5" t="s">
        <v>504</v>
      </c>
      <c r="L92" s="105">
        <f t="shared" si="16"/>
        <v>0.85700231481481559</v>
      </c>
      <c r="M92" s="105">
        <f t="shared" si="17"/>
        <v>0.86221064814814896</v>
      </c>
      <c r="N92" s="38"/>
      <c r="O92" s="38" t="s">
        <v>256</v>
      </c>
      <c r="P92" s="38" t="s">
        <v>256</v>
      </c>
      <c r="Q92" s="38" t="s">
        <v>256</v>
      </c>
      <c r="R92" s="38"/>
      <c r="S92"/>
      <c r="T92" s="4"/>
      <c r="U92" s="4"/>
    </row>
    <row r="93" spans="1:21" s="5" customFormat="1" x14ac:dyDescent="0.2">
      <c r="A93" s="48" t="s">
        <v>279</v>
      </c>
      <c r="B93" s="52">
        <f t="shared" si="19"/>
        <v>6.5682870370371127E-2</v>
      </c>
      <c r="C93" s="52">
        <f>'[1]Day 2-F'!$C$59</f>
        <v>0.86221064814814896</v>
      </c>
      <c r="D93" s="50">
        <f t="shared" si="18"/>
        <v>5.2083333333333703E-3</v>
      </c>
      <c r="E93" s="52">
        <f t="shared" si="20"/>
        <v>0.86741898148148233</v>
      </c>
      <c r="F93" s="34" t="s">
        <v>505</v>
      </c>
      <c r="G93" s="18" t="s">
        <v>269</v>
      </c>
      <c r="H93" s="18"/>
      <c r="I93" s="18" t="s">
        <v>254</v>
      </c>
      <c r="J93" s="18" t="s">
        <v>474</v>
      </c>
      <c r="K93" s="18" t="s">
        <v>506</v>
      </c>
      <c r="L93" s="105">
        <f t="shared" si="16"/>
        <v>0.86221064814814896</v>
      </c>
      <c r="M93" s="105">
        <f t="shared" si="17"/>
        <v>0.86741898148148233</v>
      </c>
      <c r="N93" s="38"/>
      <c r="O93" s="38" t="s">
        <v>256</v>
      </c>
      <c r="P93" s="38" t="s">
        <v>256</v>
      </c>
      <c r="Q93" s="38" t="s">
        <v>256</v>
      </c>
      <c r="R93" s="38"/>
      <c r="S93"/>
      <c r="T93" s="4"/>
      <c r="U93" s="4"/>
    </row>
    <row r="94" spans="1:21" s="5" customFormat="1" x14ac:dyDescent="0.2">
      <c r="A94" s="48" t="s">
        <v>279</v>
      </c>
      <c r="B94" s="52">
        <f t="shared" si="19"/>
        <v>7.0891203703704497E-2</v>
      </c>
      <c r="C94" s="52">
        <f>'[1]Day 2-F'!$C$60</f>
        <v>0.86741898148148233</v>
      </c>
      <c r="D94" s="50">
        <f t="shared" si="18"/>
        <v>6.7361111111111649E-3</v>
      </c>
      <c r="E94" s="52">
        <f t="shared" si="20"/>
        <v>0.8741550925925935</v>
      </c>
      <c r="F94" s="7" t="s">
        <v>507</v>
      </c>
      <c r="G94" s="18" t="s">
        <v>269</v>
      </c>
      <c r="H94" s="18"/>
      <c r="I94" s="18" t="s">
        <v>254</v>
      </c>
      <c r="J94" s="18" t="s">
        <v>474</v>
      </c>
      <c r="K94" s="18" t="s">
        <v>508</v>
      </c>
      <c r="L94" s="105">
        <f t="shared" si="16"/>
        <v>0.86741898148148233</v>
      </c>
      <c r="M94" s="105">
        <f t="shared" si="17"/>
        <v>0.8741550925925935</v>
      </c>
      <c r="N94" s="38"/>
      <c r="O94" s="38" t="s">
        <v>256</v>
      </c>
      <c r="P94" s="38" t="s">
        <v>256</v>
      </c>
      <c r="Q94" s="38" t="s">
        <v>256</v>
      </c>
      <c r="R94" s="38"/>
      <c r="S94"/>
      <c r="T94" s="4"/>
      <c r="U94" s="4"/>
    </row>
    <row r="95" spans="1:21" s="5" customFormat="1" x14ac:dyDescent="0.2">
      <c r="A95" s="48" t="s">
        <v>279</v>
      </c>
      <c r="B95" s="52">
        <f t="shared" si="19"/>
        <v>7.7627314814815662E-2</v>
      </c>
      <c r="C95" s="52">
        <f>'[1]Day 2-F'!$C$64</f>
        <v>0.8741550925925935</v>
      </c>
      <c r="D95" s="50">
        <f t="shared" si="18"/>
        <v>4.3865740740741677E-3</v>
      </c>
      <c r="E95" s="52">
        <f t="shared" si="20"/>
        <v>0.87854166666666766</v>
      </c>
      <c r="F95" s="7" t="s">
        <v>509</v>
      </c>
      <c r="G95" s="18" t="s">
        <v>269</v>
      </c>
      <c r="H95" s="18"/>
      <c r="I95" s="18" t="s">
        <v>254</v>
      </c>
      <c r="J95" s="18" t="s">
        <v>474</v>
      </c>
      <c r="K95" s="18" t="s">
        <v>510</v>
      </c>
      <c r="L95" s="105">
        <f t="shared" si="16"/>
        <v>0.8741550925925935</v>
      </c>
      <c r="M95" s="105">
        <f t="shared" si="17"/>
        <v>0.87854166666666766</v>
      </c>
      <c r="N95" s="38"/>
      <c r="O95" s="38" t="s">
        <v>256</v>
      </c>
      <c r="P95" s="38" t="s">
        <v>256</v>
      </c>
      <c r="Q95" s="38" t="s">
        <v>256</v>
      </c>
      <c r="R95" s="38"/>
      <c r="S95"/>
      <c r="T95" s="4"/>
      <c r="U95" s="4"/>
    </row>
    <row r="96" spans="1:21" s="5" customFormat="1" x14ac:dyDescent="0.2">
      <c r="A96" s="48" t="s">
        <v>279</v>
      </c>
      <c r="B96" s="52">
        <f t="shared" si="19"/>
        <v>8.201388888888983E-2</v>
      </c>
      <c r="C96" s="52">
        <f>'[1]Day 2-F'!$C$68</f>
        <v>0.87854166666666766</v>
      </c>
      <c r="D96" s="50">
        <f t="shared" si="18"/>
        <v>4.4675925925926618E-3</v>
      </c>
      <c r="E96" s="52">
        <f t="shared" si="20"/>
        <v>0.88300925925926033</v>
      </c>
      <c r="F96" s="7" t="s">
        <v>511</v>
      </c>
      <c r="G96" s="18" t="s">
        <v>269</v>
      </c>
      <c r="H96" s="18"/>
      <c r="I96" s="18" t="s">
        <v>254</v>
      </c>
      <c r="J96" s="18" t="s">
        <v>474</v>
      </c>
      <c r="K96" s="18" t="s">
        <v>512</v>
      </c>
      <c r="L96" s="105">
        <f t="shared" si="16"/>
        <v>0.87854166666666766</v>
      </c>
      <c r="M96" s="105">
        <f t="shared" si="17"/>
        <v>0.88300925925926033</v>
      </c>
      <c r="N96" s="38"/>
      <c r="O96" s="38" t="s">
        <v>256</v>
      </c>
      <c r="P96" s="38" t="s">
        <v>256</v>
      </c>
      <c r="Q96" s="38" t="s">
        <v>256</v>
      </c>
      <c r="R96" s="38"/>
      <c r="S96"/>
      <c r="T96" s="4"/>
      <c r="U96" s="4"/>
    </row>
    <row r="97" spans="1:21" s="5" customFormat="1" x14ac:dyDescent="0.2">
      <c r="A97" s="48" t="s">
        <v>279</v>
      </c>
      <c r="B97" s="52">
        <f t="shared" si="19"/>
        <v>8.6481481481482492E-2</v>
      </c>
      <c r="C97" s="52">
        <f>'[1]Day 2-F'!$C$72</f>
        <v>0.88300925925926033</v>
      </c>
      <c r="D97" s="50">
        <f t="shared" ref="D97:D104" si="21">E97-C97</f>
        <v>5.2083333333333703E-3</v>
      </c>
      <c r="E97" s="52">
        <f t="shared" si="20"/>
        <v>0.8882175925925937</v>
      </c>
      <c r="F97" s="34" t="s">
        <v>513</v>
      </c>
      <c r="G97" s="18" t="s">
        <v>269</v>
      </c>
      <c r="H97" s="18"/>
      <c r="I97" s="18" t="s">
        <v>254</v>
      </c>
      <c r="J97" s="18" t="s">
        <v>474</v>
      </c>
      <c r="K97" s="18" t="s">
        <v>514</v>
      </c>
      <c r="L97" s="105">
        <f t="shared" si="16"/>
        <v>0.88300925925926033</v>
      </c>
      <c r="M97" s="105">
        <f t="shared" si="17"/>
        <v>0.8882175925925937</v>
      </c>
      <c r="N97" s="38"/>
      <c r="O97" s="38" t="s">
        <v>256</v>
      </c>
      <c r="P97" s="38" t="s">
        <v>256</v>
      </c>
      <c r="Q97" s="38" t="s">
        <v>256</v>
      </c>
      <c r="R97" s="38"/>
      <c r="S97"/>
      <c r="T97" s="4"/>
      <c r="U97" s="4"/>
    </row>
    <row r="98" spans="1:21" s="5" customFormat="1" x14ac:dyDescent="0.2">
      <c r="A98" s="48" t="s">
        <v>279</v>
      </c>
      <c r="B98" s="52">
        <f t="shared" si="19"/>
        <v>9.1689814814815862E-2</v>
      </c>
      <c r="C98" s="52">
        <f>'[1]Day 2-F'!$C$73</f>
        <v>0.8882175925925937</v>
      </c>
      <c r="D98" s="50">
        <f t="shared" si="21"/>
        <v>5.2083333333333703E-3</v>
      </c>
      <c r="E98" s="52">
        <f t="shared" si="20"/>
        <v>0.89342592592592707</v>
      </c>
      <c r="F98" s="34" t="s">
        <v>515</v>
      </c>
      <c r="G98" s="18" t="s">
        <v>269</v>
      </c>
      <c r="H98" s="18"/>
      <c r="I98" s="18" t="s">
        <v>254</v>
      </c>
      <c r="J98" s="18" t="s">
        <v>474</v>
      </c>
      <c r="K98" s="18" t="s">
        <v>516</v>
      </c>
      <c r="L98" s="105">
        <f t="shared" si="16"/>
        <v>0.8882175925925937</v>
      </c>
      <c r="M98" s="105">
        <f t="shared" si="17"/>
        <v>0.89342592592592707</v>
      </c>
      <c r="N98" s="38"/>
      <c r="O98" s="38" t="s">
        <v>256</v>
      </c>
      <c r="P98" s="38" t="s">
        <v>256</v>
      </c>
      <c r="Q98" s="38" t="s">
        <v>256</v>
      </c>
      <c r="R98" s="38"/>
      <c r="S98"/>
      <c r="T98" s="4"/>
      <c r="U98" s="4"/>
    </row>
    <row r="99" spans="1:21" s="5" customFormat="1" x14ac:dyDescent="0.2">
      <c r="A99" s="48" t="s">
        <v>279</v>
      </c>
      <c r="B99" s="52">
        <f t="shared" ref="B99:B105" si="22">C99-$C$77</f>
        <v>9.6898148148149232E-2</v>
      </c>
      <c r="C99" s="52">
        <f>'[1]Day 2-F'!$C$74</f>
        <v>0.89342592592592707</v>
      </c>
      <c r="D99" s="50">
        <f t="shared" si="21"/>
        <v>6.6782407407407485E-3</v>
      </c>
      <c r="E99" s="52">
        <f t="shared" si="20"/>
        <v>0.90010416666666782</v>
      </c>
      <c r="F99" s="7" t="s">
        <v>517</v>
      </c>
      <c r="G99" s="18" t="s">
        <v>269</v>
      </c>
      <c r="H99" s="18"/>
      <c r="I99" s="18" t="s">
        <v>254</v>
      </c>
      <c r="J99" s="18" t="s">
        <v>474</v>
      </c>
      <c r="K99" s="18" t="s">
        <v>518</v>
      </c>
      <c r="L99" s="105">
        <f t="shared" si="16"/>
        <v>0.89342592592592707</v>
      </c>
      <c r="M99" s="105">
        <f t="shared" si="17"/>
        <v>0.90010416666666782</v>
      </c>
      <c r="N99" s="38"/>
      <c r="O99" s="38" t="s">
        <v>256</v>
      </c>
      <c r="P99" s="38" t="s">
        <v>256</v>
      </c>
      <c r="Q99" s="38" t="s">
        <v>256</v>
      </c>
      <c r="R99" s="38"/>
      <c r="S99"/>
      <c r="T99" s="4"/>
      <c r="U99" s="4"/>
    </row>
    <row r="100" spans="1:21" s="5" customFormat="1" x14ac:dyDescent="0.2">
      <c r="A100" s="48" t="s">
        <v>279</v>
      </c>
      <c r="B100" s="52">
        <f>C100-$C$77</f>
        <v>0.10357638888888998</v>
      </c>
      <c r="C100" s="52">
        <f>'[1]Day 2-F'!$C$78</f>
        <v>0.90010416666666782</v>
      </c>
      <c r="D100" s="50">
        <f>E100-C100</f>
        <v>5.2083333333333703E-3</v>
      </c>
      <c r="E100" s="52">
        <f t="shared" si="20"/>
        <v>0.90531250000000119</v>
      </c>
      <c r="F100" s="34" t="s">
        <v>519</v>
      </c>
      <c r="G100" s="18" t="s">
        <v>269</v>
      </c>
      <c r="H100" s="18"/>
      <c r="I100" s="18" t="s">
        <v>254</v>
      </c>
      <c r="J100" s="18" t="s">
        <v>474</v>
      </c>
      <c r="K100" s="18" t="s">
        <v>520</v>
      </c>
      <c r="L100" s="105">
        <f>C100</f>
        <v>0.90010416666666782</v>
      </c>
      <c r="M100" s="105">
        <f>E100</f>
        <v>0.90531250000000119</v>
      </c>
      <c r="N100" s="38"/>
      <c r="O100" s="38" t="s">
        <v>256</v>
      </c>
      <c r="P100" s="38" t="s">
        <v>256</v>
      </c>
      <c r="Q100" s="38" t="s">
        <v>256</v>
      </c>
      <c r="R100" s="38"/>
      <c r="S100"/>
      <c r="T100" s="4"/>
      <c r="U100" s="4"/>
    </row>
    <row r="101" spans="1:21" s="5" customFormat="1" x14ac:dyDescent="0.2">
      <c r="A101" s="48" t="s">
        <v>279</v>
      </c>
      <c r="B101" s="52">
        <f t="shared" si="22"/>
        <v>0.10878472222222335</v>
      </c>
      <c r="C101" s="52">
        <f>'[1]Day 2-F'!$C$79</f>
        <v>0.90531250000000119</v>
      </c>
      <c r="D101" s="50">
        <f t="shared" si="21"/>
        <v>6.4004629629630383E-3</v>
      </c>
      <c r="E101" s="52">
        <f t="shared" si="20"/>
        <v>0.91171296296296422</v>
      </c>
      <c r="F101" s="7" t="s">
        <v>521</v>
      </c>
      <c r="G101" s="18" t="s">
        <v>269</v>
      </c>
      <c r="H101" s="18"/>
      <c r="I101" s="18" t="s">
        <v>254</v>
      </c>
      <c r="J101" s="18" t="s">
        <v>474</v>
      </c>
      <c r="K101" s="18" t="s">
        <v>522</v>
      </c>
      <c r="L101" s="105">
        <f t="shared" si="16"/>
        <v>0.90531250000000119</v>
      </c>
      <c r="M101" s="105">
        <f t="shared" si="17"/>
        <v>0.91171296296296422</v>
      </c>
      <c r="N101" s="38"/>
      <c r="O101" s="38" t="s">
        <v>256</v>
      </c>
      <c r="P101" s="38" t="s">
        <v>256</v>
      </c>
      <c r="Q101" s="38" t="s">
        <v>256</v>
      </c>
      <c r="R101" s="38"/>
      <c r="S101"/>
      <c r="T101" s="4"/>
      <c r="U101" s="4"/>
    </row>
    <row r="102" spans="1:21" s="5" customFormat="1" x14ac:dyDescent="0.2">
      <c r="A102" s="48" t="s">
        <v>279</v>
      </c>
      <c r="B102" s="52">
        <f t="shared" si="22"/>
        <v>0.11518518518518639</v>
      </c>
      <c r="C102" s="52">
        <f>'[1]Day 2-F'!$C$83</f>
        <v>0.91171296296296422</v>
      </c>
      <c r="D102" s="50">
        <f t="shared" si="21"/>
        <v>6.2499999999999778E-3</v>
      </c>
      <c r="E102" s="52">
        <f t="shared" si="20"/>
        <v>0.9179629629629642</v>
      </c>
      <c r="F102" s="34" t="s">
        <v>523</v>
      </c>
      <c r="G102" s="18" t="s">
        <v>269</v>
      </c>
      <c r="H102" s="18"/>
      <c r="I102" s="18" t="s">
        <v>254</v>
      </c>
      <c r="J102" s="18" t="s">
        <v>474</v>
      </c>
      <c r="K102" s="18" t="s">
        <v>524</v>
      </c>
      <c r="L102" s="105">
        <f t="shared" si="16"/>
        <v>0.91171296296296422</v>
      </c>
      <c r="M102" s="105">
        <f t="shared" si="17"/>
        <v>0.9179629629629642</v>
      </c>
      <c r="N102" s="38"/>
      <c r="O102" s="38" t="s">
        <v>256</v>
      </c>
      <c r="P102" s="38" t="s">
        <v>256</v>
      </c>
      <c r="Q102" s="38" t="s">
        <v>256</v>
      </c>
      <c r="R102" s="38"/>
      <c r="S102"/>
      <c r="T102" s="4"/>
      <c r="U102" s="4"/>
    </row>
    <row r="103" spans="1:21" s="5" customFormat="1" x14ac:dyDescent="0.2">
      <c r="A103" s="48" t="s">
        <v>279</v>
      </c>
      <c r="B103" s="52">
        <f t="shared" si="22"/>
        <v>0.12143518518518637</v>
      </c>
      <c r="C103" s="52">
        <f>'[1]Day 2-F'!$C$84</f>
        <v>0.9179629629629642</v>
      </c>
      <c r="D103" s="50">
        <f t="shared" si="21"/>
        <v>6.2499999999999778E-3</v>
      </c>
      <c r="E103" s="52">
        <f t="shared" si="20"/>
        <v>0.92421296296296418</v>
      </c>
      <c r="F103" s="34" t="s">
        <v>525</v>
      </c>
      <c r="G103" s="18" t="s">
        <v>269</v>
      </c>
      <c r="H103" s="18"/>
      <c r="I103" s="18" t="s">
        <v>254</v>
      </c>
      <c r="J103" s="18" t="s">
        <v>474</v>
      </c>
      <c r="K103" s="18" t="s">
        <v>526</v>
      </c>
      <c r="L103" s="105">
        <f t="shared" si="16"/>
        <v>0.9179629629629642</v>
      </c>
      <c r="M103" s="105">
        <f t="shared" si="17"/>
        <v>0.92421296296296418</v>
      </c>
      <c r="N103" s="38"/>
      <c r="O103" s="38" t="s">
        <v>256</v>
      </c>
      <c r="P103" s="38" t="s">
        <v>256</v>
      </c>
      <c r="Q103" s="38" t="s">
        <v>256</v>
      </c>
      <c r="R103" s="38"/>
      <c r="S103"/>
      <c r="T103" s="4"/>
      <c r="U103" s="4"/>
    </row>
    <row r="104" spans="1:21" s="5" customFormat="1" x14ac:dyDescent="0.2">
      <c r="A104" s="48" t="s">
        <v>279</v>
      </c>
      <c r="B104" s="52">
        <f t="shared" si="22"/>
        <v>0.12768518518518635</v>
      </c>
      <c r="C104" s="52">
        <f>'[1]Day 2-F'!$C$85</f>
        <v>0.92421296296296418</v>
      </c>
      <c r="D104" s="50">
        <f t="shared" si="21"/>
        <v>1.0416666666667185E-3</v>
      </c>
      <c r="E104" s="52">
        <f t="shared" si="20"/>
        <v>0.9252546296296309</v>
      </c>
      <c r="F104" s="18" t="s">
        <v>357</v>
      </c>
      <c r="G104" s="18" t="s">
        <v>269</v>
      </c>
      <c r="H104" s="18"/>
      <c r="I104" s="18" t="s">
        <v>254</v>
      </c>
      <c r="J104" s="18" t="s">
        <v>474</v>
      </c>
      <c r="K104" s="37"/>
      <c r="L104" s="105">
        <f t="shared" si="16"/>
        <v>0.92421296296296418</v>
      </c>
      <c r="M104" s="105">
        <f t="shared" si="17"/>
        <v>0.9252546296296309</v>
      </c>
      <c r="N104" s="38"/>
      <c r="O104" s="38" t="s">
        <v>256</v>
      </c>
      <c r="P104" s="38" t="s">
        <v>256</v>
      </c>
      <c r="Q104" s="38" t="s">
        <v>256</v>
      </c>
      <c r="R104" s="38"/>
      <c r="S104"/>
      <c r="T104" s="4"/>
      <c r="U104" s="4"/>
    </row>
    <row r="105" spans="1:21" x14ac:dyDescent="0.2">
      <c r="A105" s="93" t="s">
        <v>279</v>
      </c>
      <c r="B105" s="52">
        <f t="shared" si="22"/>
        <v>0.12872685185185306</v>
      </c>
      <c r="C105" s="94">
        <f>'[1]Day 2-F'!$C$86</f>
        <v>0.9252546296296309</v>
      </c>
      <c r="D105" s="50"/>
      <c r="E105" s="94"/>
      <c r="F105" s="20" t="s">
        <v>358</v>
      </c>
      <c r="G105" s="18"/>
      <c r="H105" s="18"/>
      <c r="I105" s="18" t="s">
        <v>254</v>
      </c>
      <c r="J105" s="18" t="s">
        <v>474</v>
      </c>
      <c r="K105" s="37"/>
      <c r="L105" s="105">
        <f t="shared" si="16"/>
        <v>0.9252546296296309</v>
      </c>
      <c r="M105" s="105"/>
      <c r="N105" s="38"/>
      <c r="O105" s="38" t="s">
        <v>256</v>
      </c>
      <c r="P105" s="38" t="s">
        <v>256</v>
      </c>
      <c r="Q105" s="38" t="s">
        <v>256</v>
      </c>
      <c r="R105" s="38" t="s">
        <v>256</v>
      </c>
      <c r="T105" s="4"/>
      <c r="U105" s="4"/>
    </row>
    <row r="106" spans="1:21" s="5" customFormat="1" x14ac:dyDescent="0.2">
      <c r="A106" s="46"/>
      <c r="B106" s="46"/>
      <c r="C106" s="64">
        <v>0.92708333333333337</v>
      </c>
      <c r="D106" s="46"/>
      <c r="E106" s="55"/>
      <c r="F106" s="33" t="s">
        <v>62</v>
      </c>
      <c r="G106" s="45"/>
      <c r="H106" s="45"/>
      <c r="I106" s="45" t="s">
        <v>254</v>
      </c>
      <c r="J106" s="45" t="s">
        <v>474</v>
      </c>
      <c r="K106" s="45"/>
      <c r="L106" s="106">
        <f t="shared" si="16"/>
        <v>0.92708333333333337</v>
      </c>
      <c r="M106" s="106"/>
      <c r="N106" s="46"/>
      <c r="O106" s="46" t="s">
        <v>256</v>
      </c>
      <c r="P106" s="46" t="s">
        <v>256</v>
      </c>
      <c r="Q106" s="46" t="s">
        <v>256</v>
      </c>
      <c r="R106" s="46" t="s">
        <v>256</v>
      </c>
      <c r="S106"/>
      <c r="T106" s="4"/>
      <c r="U106" s="4"/>
    </row>
    <row r="107" spans="1:21" s="5" customFormat="1" x14ac:dyDescent="0.2">
      <c r="A107" s="48" t="s">
        <v>279</v>
      </c>
      <c r="B107" s="52">
        <f>C106-$C$77</f>
        <v>0.13055555555555554</v>
      </c>
      <c r="C107" s="52">
        <f>$C$106+TIME(0,0,0)</f>
        <v>0.92708333333333337</v>
      </c>
      <c r="D107" s="50">
        <f t="shared" si="18"/>
        <v>4.166666666666663E-2</v>
      </c>
      <c r="E107" s="52">
        <f>$C$106+TIME(1,0,0)</f>
        <v>0.96875</v>
      </c>
      <c r="F107" s="47" t="s">
        <v>359</v>
      </c>
      <c r="G107" s="18" t="s">
        <v>264</v>
      </c>
      <c r="H107" s="18"/>
      <c r="I107" s="18" t="s">
        <v>254</v>
      </c>
      <c r="J107" s="37"/>
      <c r="K107" s="37"/>
      <c r="L107" s="37"/>
      <c r="M107" s="37"/>
      <c r="N107" s="38"/>
      <c r="O107" s="38"/>
      <c r="P107" s="38"/>
      <c r="Q107" s="38"/>
      <c r="R107" s="38" t="s">
        <v>256</v>
      </c>
      <c r="S107"/>
      <c r="T107" s="4"/>
      <c r="U107" s="4"/>
    </row>
    <row r="108" spans="1:21" s="5" customFormat="1" x14ac:dyDescent="0.2">
      <c r="A108" s="48" t="s">
        <v>279</v>
      </c>
      <c r="B108" s="52">
        <f t="shared" ref="B108:B111" si="23">C107-$C$77</f>
        <v>0.13055555555555554</v>
      </c>
      <c r="C108" s="52">
        <v>0.93541666666666667</v>
      </c>
      <c r="D108" s="48"/>
      <c r="E108" s="52"/>
      <c r="F108" s="47" t="s">
        <v>65</v>
      </c>
      <c r="G108" s="18" t="s">
        <v>271</v>
      </c>
      <c r="H108" s="18"/>
      <c r="I108" s="18" t="s">
        <v>254</v>
      </c>
      <c r="J108" s="37"/>
      <c r="K108" s="37"/>
      <c r="L108" s="37"/>
      <c r="M108" s="37"/>
      <c r="N108" s="38"/>
      <c r="O108" s="38"/>
      <c r="P108" s="38"/>
      <c r="Q108" s="38"/>
      <c r="R108" s="38" t="s">
        <v>256</v>
      </c>
      <c r="S108"/>
      <c r="T108" s="4"/>
      <c r="U108" s="4"/>
    </row>
    <row r="109" spans="1:21" s="5" customFormat="1" x14ac:dyDescent="0.2">
      <c r="A109" s="48" t="s">
        <v>279</v>
      </c>
      <c r="B109" s="52">
        <f t="shared" si="23"/>
        <v>0.13888888888888884</v>
      </c>
      <c r="C109" s="52">
        <v>0.9375</v>
      </c>
      <c r="D109" s="48"/>
      <c r="E109" s="52"/>
      <c r="F109" s="62" t="s">
        <v>411</v>
      </c>
      <c r="G109" s="18" t="s">
        <v>261</v>
      </c>
      <c r="H109" s="18"/>
      <c r="I109" s="18" t="s">
        <v>254</v>
      </c>
      <c r="J109" s="37"/>
      <c r="K109" s="37"/>
      <c r="L109" s="37"/>
      <c r="M109" s="37"/>
      <c r="N109" s="38"/>
      <c r="O109" s="38"/>
      <c r="P109" s="38"/>
      <c r="Q109" s="38"/>
      <c r="R109" s="38" t="s">
        <v>256</v>
      </c>
      <c r="S109"/>
      <c r="T109" s="4"/>
      <c r="U109" s="4"/>
    </row>
    <row r="110" spans="1:21" s="5" customFormat="1" x14ac:dyDescent="0.2">
      <c r="A110" s="48" t="s">
        <v>279</v>
      </c>
      <c r="B110" s="52">
        <f t="shared" si="23"/>
        <v>0.14097222222222217</v>
      </c>
      <c r="C110" s="52">
        <f>$C$106+TIME(0,45,0)</f>
        <v>0.95833333333333337</v>
      </c>
      <c r="D110" s="48"/>
      <c r="E110" s="52"/>
      <c r="F110" s="18" t="s">
        <v>362</v>
      </c>
      <c r="G110" s="18" t="s">
        <v>271</v>
      </c>
      <c r="H110" s="18"/>
      <c r="I110" s="18" t="s">
        <v>254</v>
      </c>
      <c r="J110" s="37"/>
      <c r="K110" s="37"/>
      <c r="L110" s="37"/>
      <c r="M110" s="37"/>
      <c r="N110" s="38"/>
      <c r="O110" s="38"/>
      <c r="P110" s="38"/>
      <c r="Q110" s="38"/>
      <c r="R110" s="38" t="s">
        <v>256</v>
      </c>
      <c r="S110"/>
      <c r="T110" s="4"/>
      <c r="U110" s="4"/>
    </row>
    <row r="111" spans="1:21" s="5" customFormat="1" x14ac:dyDescent="0.2">
      <c r="A111" s="48" t="s">
        <v>279</v>
      </c>
      <c r="B111" s="52">
        <f t="shared" si="23"/>
        <v>0.16180555555555554</v>
      </c>
      <c r="C111" s="52">
        <f>$C$106+TIME(1,20,0)</f>
        <v>0.98263888888888895</v>
      </c>
      <c r="D111" s="48"/>
      <c r="E111" s="52"/>
      <c r="F111" s="47" t="s">
        <v>412</v>
      </c>
      <c r="G111" s="18"/>
      <c r="H111" s="18"/>
      <c r="I111" s="18" t="s">
        <v>254</v>
      </c>
      <c r="J111" s="37"/>
      <c r="K111" s="37"/>
      <c r="L111" s="37"/>
      <c r="M111" s="37"/>
      <c r="N111" s="38"/>
      <c r="O111" s="38"/>
      <c r="P111" s="38"/>
      <c r="Q111" s="38"/>
      <c r="R111" s="38"/>
      <c r="S111"/>
      <c r="T111" s="4"/>
      <c r="U111" s="4"/>
    </row>
    <row r="112" spans="1:21" s="5" customFormat="1" x14ac:dyDescent="0.2">
      <c r="A112" s="48" t="s">
        <v>279</v>
      </c>
      <c r="B112" s="52">
        <f>C111-$C$77</f>
        <v>0.18611111111111112</v>
      </c>
      <c r="C112" s="52">
        <f>$C$106+TIME(1,30,0)</f>
        <v>0.98958333333333337</v>
      </c>
      <c r="D112" s="48"/>
      <c r="E112" s="52"/>
      <c r="F112" s="20" t="s">
        <v>67</v>
      </c>
      <c r="G112" s="18"/>
      <c r="H112" s="18"/>
      <c r="I112" s="18" t="s">
        <v>254</v>
      </c>
      <c r="J112" s="37"/>
      <c r="K112" s="37"/>
      <c r="L112" s="37"/>
      <c r="M112" s="37"/>
      <c r="N112" s="38"/>
      <c r="O112" s="38"/>
      <c r="P112" s="38"/>
      <c r="Q112" s="38"/>
      <c r="R112" s="38" t="s">
        <v>256</v>
      </c>
      <c r="S112"/>
      <c r="T112" s="4"/>
      <c r="U112" s="4"/>
    </row>
    <row r="113" spans="1:21" s="5" customFormat="1" x14ac:dyDescent="0.2">
      <c r="A113" s="48" t="s">
        <v>279</v>
      </c>
      <c r="B113" s="52">
        <f t="shared" ref="B113" si="24">C112-$C$77</f>
        <v>0.19305555555555554</v>
      </c>
      <c r="C113" s="52">
        <v>0</v>
      </c>
      <c r="D113" s="48"/>
      <c r="E113" s="52"/>
      <c r="F113" s="47" t="s">
        <v>361</v>
      </c>
      <c r="G113" s="18"/>
      <c r="H113" s="18"/>
      <c r="I113" s="18" t="s">
        <v>254</v>
      </c>
      <c r="J113" s="37"/>
      <c r="K113" s="37"/>
      <c r="L113" s="37"/>
      <c r="M113" s="37"/>
      <c r="N113" s="38"/>
      <c r="O113" s="38"/>
      <c r="P113" s="38"/>
      <c r="Q113" s="38"/>
      <c r="R113" s="38"/>
      <c r="S113"/>
      <c r="T113" s="4"/>
      <c r="U113" s="4"/>
    </row>
    <row r="114" spans="1:21" s="5" customFormat="1" x14ac:dyDescent="0.2">
      <c r="A114" s="48" t="s">
        <v>279</v>
      </c>
      <c r="B114" s="52">
        <f>MOD(C113-$C$77,1)</f>
        <v>0.20347222222222217</v>
      </c>
      <c r="C114" s="98">
        <v>1.0416666666666666E-2</v>
      </c>
      <c r="D114" s="48"/>
      <c r="E114" s="52"/>
      <c r="F114" s="47" t="s">
        <v>413</v>
      </c>
      <c r="G114" s="18"/>
      <c r="H114" s="18"/>
      <c r="I114" s="18" t="s">
        <v>254</v>
      </c>
      <c r="J114" s="37"/>
      <c r="K114" s="37"/>
      <c r="L114" s="37"/>
      <c r="M114" s="37"/>
      <c r="N114" s="38"/>
      <c r="O114" s="38"/>
      <c r="P114" s="38"/>
      <c r="Q114" s="38"/>
      <c r="R114" s="38"/>
      <c r="S114"/>
      <c r="T114" s="4"/>
      <c r="U114" s="4"/>
    </row>
    <row r="115" spans="1:21" s="5" customFormat="1" x14ac:dyDescent="0.2">
      <c r="A115" s="48" t="s">
        <v>279</v>
      </c>
      <c r="B115" s="52">
        <f t="shared" ref="B115:B116" si="25">MOD(C114-$C$77,1)</f>
        <v>0.2138888888888888</v>
      </c>
      <c r="C115" s="52">
        <v>1</v>
      </c>
      <c r="D115" s="48"/>
      <c r="E115" s="52"/>
      <c r="F115" s="18" t="s">
        <v>414</v>
      </c>
      <c r="G115" s="18"/>
      <c r="H115" s="18"/>
      <c r="I115" s="18" t="s">
        <v>254</v>
      </c>
      <c r="J115" s="37"/>
      <c r="K115" s="37"/>
      <c r="L115" s="37"/>
      <c r="M115" s="37"/>
      <c r="N115" s="38"/>
      <c r="O115" s="38"/>
      <c r="P115" s="38"/>
      <c r="Q115" s="38"/>
      <c r="R115" s="38" t="s">
        <v>256</v>
      </c>
      <c r="S115"/>
      <c r="T115" s="4"/>
      <c r="U115" s="4"/>
    </row>
    <row r="116" spans="1:21" s="5" customFormat="1" x14ac:dyDescent="0.2">
      <c r="A116" s="48" t="s">
        <v>279</v>
      </c>
      <c r="B116" s="52">
        <f t="shared" si="25"/>
        <v>0.20347222222222217</v>
      </c>
      <c r="C116" s="52">
        <v>2.0833333333333332E-2</v>
      </c>
      <c r="D116" s="48"/>
      <c r="E116" s="52"/>
      <c r="F116" s="18" t="s">
        <v>415</v>
      </c>
      <c r="G116" s="18"/>
      <c r="H116" s="18"/>
      <c r="I116" s="18" t="s">
        <v>254</v>
      </c>
      <c r="J116" s="37"/>
      <c r="K116" s="37"/>
      <c r="L116" s="37"/>
      <c r="M116" s="37"/>
      <c r="N116" s="38"/>
      <c r="O116" s="38"/>
      <c r="P116" s="38"/>
      <c r="Q116" s="38"/>
      <c r="R116" s="38" t="s">
        <v>256</v>
      </c>
      <c r="S116"/>
      <c r="T116" s="4"/>
      <c r="U116" s="4"/>
    </row>
    <row r="117" spans="1:21" s="5" customFormat="1" x14ac:dyDescent="0.2">
      <c r="A117" s="2"/>
      <c r="B117" s="2"/>
      <c r="C117" s="56"/>
      <c r="D117" s="2"/>
      <c r="E117" s="56"/>
      <c r="F117"/>
      <c r="G117"/>
      <c r="H117"/>
      <c r="I117"/>
      <c r="J117"/>
      <c r="K117"/>
      <c r="L117"/>
      <c r="M117"/>
      <c r="N117" s="2"/>
      <c r="O117" s="2"/>
      <c r="P117" s="2"/>
      <c r="Q117" s="2"/>
      <c r="R117" s="2"/>
      <c r="S117"/>
      <c r="T117" s="4"/>
      <c r="U117" s="4"/>
    </row>
    <row r="118" spans="1:21" s="5" customFormat="1" x14ac:dyDescent="0.2">
      <c r="A118" s="2"/>
      <c r="B118" s="2"/>
      <c r="C118" s="56"/>
      <c r="D118" s="2"/>
      <c r="E118" s="56"/>
      <c r="F118"/>
      <c r="G118"/>
      <c r="H118"/>
      <c r="I118"/>
      <c r="J118"/>
      <c r="K118"/>
      <c r="L118"/>
      <c r="M118"/>
      <c r="N118" s="2"/>
      <c r="O118" s="2"/>
      <c r="P118" s="2"/>
      <c r="Q118" s="2"/>
      <c r="R118" s="2"/>
      <c r="S118"/>
      <c r="T118" s="4"/>
      <c r="U118" s="4"/>
    </row>
    <row r="119" spans="1:21" s="5" customFormat="1" x14ac:dyDescent="0.2">
      <c r="A119" s="2"/>
      <c r="B119" s="2"/>
      <c r="C119" s="56"/>
      <c r="D119" s="2"/>
      <c r="E119" s="56"/>
      <c r="F119"/>
      <c r="G119"/>
      <c r="H119"/>
      <c r="I119"/>
      <c r="J119"/>
      <c r="K119"/>
      <c r="L119"/>
      <c r="M119"/>
      <c r="N119" s="2"/>
      <c r="O119" s="2"/>
      <c r="P119" s="2"/>
      <c r="Q119" s="2"/>
      <c r="R119" s="2"/>
      <c r="S119"/>
      <c r="T119" s="4"/>
      <c r="U119" s="4"/>
    </row>
    <row r="120" spans="1:21" s="5" customFormat="1" x14ac:dyDescent="0.2">
      <c r="A120" s="2"/>
      <c r="B120" s="2"/>
      <c r="C120" s="56"/>
      <c r="D120" s="2"/>
      <c r="E120" s="56"/>
      <c r="F120"/>
      <c r="G120"/>
      <c r="H120"/>
      <c r="I120"/>
      <c r="J120"/>
      <c r="K120"/>
      <c r="L120"/>
      <c r="M120"/>
      <c r="N120" s="2"/>
      <c r="O120" s="2"/>
      <c r="P120" s="2"/>
      <c r="Q120" s="2"/>
      <c r="R120" s="2"/>
      <c r="S120"/>
      <c r="T120" s="4"/>
      <c r="U120" s="4"/>
    </row>
    <row r="121" spans="1:21" s="5" customFormat="1" x14ac:dyDescent="0.2">
      <c r="A121" s="2"/>
      <c r="B121" s="2"/>
      <c r="C121" s="56"/>
      <c r="D121" s="2"/>
      <c r="E121" s="56"/>
      <c r="F121"/>
      <c r="G121"/>
      <c r="H121"/>
      <c r="I121"/>
      <c r="J121"/>
      <c r="K121"/>
      <c r="L121"/>
      <c r="M121"/>
      <c r="N121" s="2"/>
      <c r="O121" s="2"/>
      <c r="P121" s="2"/>
      <c r="Q121" s="2"/>
      <c r="R121" s="2"/>
      <c r="S121"/>
      <c r="T121" s="4"/>
      <c r="U121" s="4"/>
    </row>
    <row r="122" spans="1:21" s="5" customFormat="1" x14ac:dyDescent="0.2">
      <c r="A122" s="2"/>
      <c r="B122" s="68"/>
      <c r="C122" s="67"/>
      <c r="D122" s="68"/>
      <c r="E122" s="67"/>
      <c r="F122"/>
      <c r="G122"/>
      <c r="H122"/>
      <c r="I122"/>
      <c r="J122"/>
      <c r="K122"/>
      <c r="L122"/>
      <c r="M122"/>
      <c r="N122" s="2"/>
      <c r="O122" s="2"/>
      <c r="P122" s="2"/>
      <c r="Q122" s="2"/>
      <c r="R122" s="2"/>
      <c r="S122"/>
      <c r="T122" s="4"/>
      <c r="U122" s="4"/>
    </row>
    <row r="123" spans="1:21" s="5" customFormat="1" x14ac:dyDescent="0.2">
      <c r="A123" s="2"/>
      <c r="B123" s="68"/>
      <c r="C123" s="67"/>
      <c r="D123" s="68"/>
      <c r="E123" s="67"/>
      <c r="F123"/>
      <c r="G123"/>
      <c r="H123"/>
      <c r="I123"/>
      <c r="J123"/>
      <c r="K123"/>
      <c r="L123"/>
      <c r="M123"/>
      <c r="N123" s="2"/>
      <c r="O123" s="2"/>
      <c r="P123" s="2"/>
      <c r="Q123" s="2"/>
      <c r="R123" s="2"/>
      <c r="S123"/>
      <c r="T123" s="4"/>
      <c r="U123" s="4"/>
    </row>
    <row r="124" spans="1:21" s="5" customFormat="1" x14ac:dyDescent="0.2">
      <c r="A124" s="2"/>
      <c r="B124" s="68"/>
      <c r="C124" s="67"/>
      <c r="D124" s="68"/>
      <c r="E124" s="67"/>
      <c r="F124"/>
      <c r="G124"/>
      <c r="H124"/>
      <c r="I124"/>
      <c r="J124"/>
      <c r="K124"/>
      <c r="L124"/>
      <c r="M124"/>
      <c r="N124" s="2"/>
      <c r="O124" s="2"/>
      <c r="P124" s="2"/>
      <c r="Q124" s="2"/>
      <c r="R124" s="2"/>
      <c r="S124"/>
      <c r="T124" s="4"/>
      <c r="U124" s="4"/>
    </row>
    <row r="125" spans="1:21" s="5" customFormat="1" x14ac:dyDescent="0.2">
      <c r="A125" s="2"/>
      <c r="B125" s="68"/>
      <c r="C125" s="67"/>
      <c r="D125" s="68"/>
      <c r="E125" s="67"/>
      <c r="F125"/>
      <c r="G125"/>
      <c r="H125"/>
      <c r="I125"/>
      <c r="J125"/>
      <c r="K125"/>
      <c r="L125"/>
      <c r="M125"/>
      <c r="N125" s="2"/>
      <c r="O125" s="2"/>
      <c r="P125" s="2"/>
      <c r="Q125" s="2"/>
      <c r="R125" s="2"/>
      <c r="S125"/>
      <c r="T125" s="4"/>
      <c r="U125" s="4"/>
    </row>
    <row r="126" spans="1:21" s="5" customFormat="1" x14ac:dyDescent="0.2">
      <c r="A126" s="2"/>
      <c r="B126" s="68"/>
      <c r="C126" s="67"/>
      <c r="D126" s="68"/>
      <c r="E126" s="67"/>
      <c r="F126"/>
      <c r="G126"/>
      <c r="H126"/>
      <c r="I126"/>
      <c r="J126"/>
      <c r="K126"/>
      <c r="L126"/>
      <c r="M126"/>
      <c r="N126" s="2"/>
      <c r="O126" s="2"/>
      <c r="P126" s="2"/>
      <c r="Q126" s="2"/>
      <c r="R126" s="2"/>
      <c r="S126"/>
      <c r="T126" s="4"/>
      <c r="U126" s="4"/>
    </row>
    <row r="127" spans="1:21" s="5" customFormat="1" x14ac:dyDescent="0.2">
      <c r="A127" s="2"/>
      <c r="B127" s="68"/>
      <c r="C127" s="67"/>
      <c r="D127" s="68"/>
      <c r="E127" s="67"/>
      <c r="F127"/>
      <c r="G127"/>
      <c r="H127"/>
      <c r="I127"/>
      <c r="J127"/>
      <c r="K127"/>
      <c r="L127"/>
      <c r="M127"/>
      <c r="N127" s="2"/>
      <c r="O127" s="2"/>
      <c r="P127" s="2"/>
      <c r="Q127" s="2"/>
      <c r="R127" s="2"/>
      <c r="S127"/>
      <c r="T127" s="4"/>
      <c r="U127" s="4"/>
    </row>
    <row r="128" spans="1:21" s="5" customFormat="1" x14ac:dyDescent="0.2">
      <c r="A128" s="2"/>
      <c r="B128" s="2"/>
      <c r="C128" s="56"/>
      <c r="D128" s="2"/>
      <c r="E128" s="56"/>
      <c r="F128"/>
      <c r="G128"/>
      <c r="H128"/>
      <c r="I128"/>
      <c r="J128"/>
      <c r="K128"/>
      <c r="L128"/>
      <c r="M128"/>
      <c r="N128" s="2"/>
      <c r="O128" s="2"/>
      <c r="P128" s="2"/>
      <c r="Q128" s="2"/>
      <c r="R128" s="2"/>
      <c r="S128"/>
      <c r="T128" s="4"/>
      <c r="U128" s="4"/>
    </row>
    <row r="129" spans="1:21" s="5" customFormat="1" x14ac:dyDescent="0.2">
      <c r="A129" s="2"/>
      <c r="B129" s="2"/>
      <c r="C129" s="56"/>
      <c r="D129" s="2"/>
      <c r="E129" s="56"/>
      <c r="F129"/>
      <c r="G129"/>
      <c r="H129"/>
      <c r="I129"/>
      <c r="J129"/>
      <c r="K129"/>
      <c r="L129"/>
      <c r="M129"/>
      <c r="N129" s="2"/>
      <c r="O129" s="2"/>
      <c r="P129" s="2"/>
      <c r="Q129" s="2"/>
      <c r="R129" s="2"/>
      <c r="S129"/>
      <c r="T129" s="4"/>
      <c r="U129" s="4"/>
    </row>
    <row r="130" spans="1:21" s="5" customFormat="1" x14ac:dyDescent="0.2">
      <c r="A130" s="2"/>
      <c r="B130" s="2"/>
      <c r="C130" s="56"/>
      <c r="D130" s="2"/>
      <c r="E130" s="56"/>
      <c r="F130"/>
      <c r="G130"/>
      <c r="H130"/>
      <c r="I130"/>
      <c r="J130"/>
      <c r="K130"/>
      <c r="L130"/>
      <c r="M130"/>
      <c r="N130" s="2"/>
      <c r="O130" s="2"/>
      <c r="P130" s="2"/>
      <c r="Q130" s="2"/>
      <c r="R130" s="2"/>
      <c r="S130"/>
      <c r="T130" s="4"/>
      <c r="U130" s="4"/>
    </row>
    <row r="131" spans="1:21" s="5" customFormat="1" x14ac:dyDescent="0.2">
      <c r="A131" s="2"/>
      <c r="B131" s="2"/>
      <c r="C131" s="56"/>
      <c r="D131" s="2"/>
      <c r="E131" s="56"/>
      <c r="F131"/>
      <c r="G131"/>
      <c r="H131"/>
      <c r="I131"/>
      <c r="J131"/>
      <c r="K131"/>
      <c r="L131"/>
      <c r="M131"/>
      <c r="N131" s="2"/>
      <c r="O131" s="2"/>
      <c r="P131" s="2"/>
      <c r="Q131" s="2"/>
      <c r="R131" s="2"/>
      <c r="S131"/>
      <c r="T131" s="4"/>
      <c r="U131" s="4"/>
    </row>
    <row r="132" spans="1:21" s="5" customFormat="1" x14ac:dyDescent="0.2">
      <c r="A132" s="2"/>
      <c r="B132" s="2"/>
      <c r="C132" s="56"/>
      <c r="D132" s="2"/>
      <c r="E132" s="56"/>
      <c r="F132"/>
      <c r="G132"/>
      <c r="H132"/>
      <c r="I132"/>
      <c r="J132"/>
      <c r="K132"/>
      <c r="L132"/>
      <c r="M132"/>
      <c r="N132" s="2"/>
      <c r="O132" s="2"/>
      <c r="P132" s="2"/>
      <c r="Q132" s="2"/>
      <c r="R132" s="2"/>
      <c r="S132"/>
      <c r="T132" s="4"/>
      <c r="U132" s="4"/>
    </row>
    <row r="133" spans="1:21" s="5" customFormat="1" x14ac:dyDescent="0.2">
      <c r="A133" s="2"/>
      <c r="B133" s="2"/>
      <c r="C133" s="56"/>
      <c r="D133" s="2"/>
      <c r="E133" s="56"/>
      <c r="F133"/>
      <c r="G133"/>
      <c r="H133"/>
      <c r="I133"/>
      <c r="J133"/>
      <c r="K133"/>
      <c r="L133"/>
      <c r="M133"/>
      <c r="N133" s="2"/>
      <c r="O133" s="2"/>
      <c r="P133" s="2"/>
      <c r="Q133" s="2"/>
      <c r="R133" s="2"/>
      <c r="S133"/>
      <c r="T133" s="4"/>
      <c r="U133" s="4"/>
    </row>
    <row r="134" spans="1:21" s="5" customFormat="1" x14ac:dyDescent="0.2">
      <c r="A134" s="2"/>
      <c r="B134" s="2"/>
      <c r="C134" s="56"/>
      <c r="D134" s="2"/>
      <c r="E134" s="56"/>
      <c r="F134"/>
      <c r="G134"/>
      <c r="H134"/>
      <c r="I134"/>
      <c r="J134"/>
      <c r="K134"/>
      <c r="L134"/>
      <c r="M134"/>
      <c r="N134" s="2"/>
      <c r="O134" s="2"/>
      <c r="P134" s="2"/>
      <c r="Q134" s="2"/>
      <c r="R134" s="2"/>
      <c r="S134"/>
      <c r="T134" s="4"/>
      <c r="U134" s="4"/>
    </row>
    <row r="135" spans="1:21" s="5" customFormat="1" x14ac:dyDescent="0.2">
      <c r="A135" s="2"/>
      <c r="B135" s="2"/>
      <c r="C135" s="56"/>
      <c r="D135" s="2"/>
      <c r="E135" s="56"/>
      <c r="F135"/>
      <c r="G135"/>
      <c r="H135"/>
      <c r="I135"/>
      <c r="J135"/>
      <c r="K135"/>
      <c r="L135"/>
      <c r="M135"/>
      <c r="N135" s="2"/>
      <c r="O135" s="2"/>
      <c r="P135" s="2"/>
      <c r="Q135" s="2"/>
      <c r="R135" s="2"/>
      <c r="S135"/>
      <c r="T135" s="4"/>
      <c r="U135" s="4"/>
    </row>
    <row r="136" spans="1:21" s="5" customFormat="1" x14ac:dyDescent="0.2">
      <c r="A136" s="2"/>
      <c r="B136" s="2"/>
      <c r="C136" s="56"/>
      <c r="D136" s="2"/>
      <c r="E136" s="56"/>
      <c r="F136"/>
      <c r="G136"/>
      <c r="H136"/>
      <c r="I136"/>
      <c r="J136"/>
      <c r="K136"/>
      <c r="L136"/>
      <c r="M136"/>
      <c r="N136" s="2"/>
      <c r="O136" s="2"/>
      <c r="P136" s="2"/>
      <c r="Q136" s="2"/>
      <c r="R136" s="2"/>
      <c r="S136"/>
      <c r="T136" s="4"/>
      <c r="U136" s="4"/>
    </row>
    <row r="137" spans="1:21" s="5" customFormat="1" x14ac:dyDescent="0.2">
      <c r="A137" s="2"/>
      <c r="B137" s="2"/>
      <c r="C137" s="56"/>
      <c r="D137" s="2"/>
      <c r="E137" s="56"/>
      <c r="F137"/>
      <c r="G137"/>
      <c r="H137"/>
      <c r="I137"/>
      <c r="J137"/>
      <c r="K137"/>
      <c r="L137"/>
      <c r="M137"/>
      <c r="N137" s="2"/>
      <c r="O137" s="2"/>
      <c r="P137" s="2"/>
      <c r="Q137" s="2"/>
      <c r="R137" s="2"/>
      <c r="S137"/>
      <c r="T137" s="4"/>
      <c r="U137" s="4"/>
    </row>
    <row r="138" spans="1:21" s="5" customFormat="1" x14ac:dyDescent="0.2">
      <c r="A138" s="2"/>
      <c r="B138" s="2"/>
      <c r="C138" s="56"/>
      <c r="D138" s="2"/>
      <c r="E138" s="56"/>
      <c r="F138"/>
      <c r="G138"/>
      <c r="H138"/>
      <c r="I138"/>
      <c r="J138"/>
      <c r="K138"/>
      <c r="L138"/>
      <c r="M138"/>
      <c r="N138" s="2"/>
      <c r="O138" s="2"/>
      <c r="P138" s="2"/>
      <c r="Q138" s="2"/>
      <c r="R138" s="2"/>
      <c r="S138"/>
      <c r="T138" s="4"/>
      <c r="U138" s="4"/>
    </row>
    <row r="139" spans="1:21" s="5" customFormat="1" x14ac:dyDescent="0.2">
      <c r="A139" s="2"/>
      <c r="B139" s="2"/>
      <c r="C139" s="56"/>
      <c r="D139" s="2"/>
      <c r="E139" s="56"/>
      <c r="F139"/>
      <c r="G139"/>
      <c r="H139"/>
      <c r="I139"/>
      <c r="J139"/>
      <c r="K139"/>
      <c r="L139"/>
      <c r="M139"/>
      <c r="N139" s="2"/>
      <c r="O139" s="2"/>
      <c r="P139" s="2"/>
      <c r="Q139" s="2"/>
      <c r="R139" s="2"/>
      <c r="S139"/>
      <c r="T139" s="4"/>
      <c r="U139" s="4"/>
    </row>
    <row r="140" spans="1:21" s="5" customFormat="1" x14ac:dyDescent="0.2">
      <c r="A140" s="2"/>
      <c r="B140" s="2"/>
      <c r="C140" s="56"/>
      <c r="D140" s="2"/>
      <c r="E140" s="56"/>
      <c r="F140"/>
      <c r="G140"/>
      <c r="H140"/>
      <c r="I140"/>
      <c r="J140"/>
      <c r="K140"/>
      <c r="L140"/>
      <c r="M140"/>
      <c r="N140" s="2"/>
      <c r="O140" s="2"/>
      <c r="P140" s="2"/>
      <c r="Q140" s="2"/>
      <c r="R140" s="2"/>
      <c r="S140"/>
      <c r="T140" s="4"/>
      <c r="U140" s="4"/>
    </row>
    <row r="141" spans="1:21" s="5" customFormat="1" x14ac:dyDescent="0.2">
      <c r="A141" s="2"/>
      <c r="B141" s="2"/>
      <c r="C141" s="56"/>
      <c r="D141" s="2"/>
      <c r="E141" s="56"/>
      <c r="F141"/>
      <c r="G141"/>
      <c r="H141"/>
      <c r="I141"/>
      <c r="J141"/>
      <c r="K141"/>
      <c r="L141"/>
      <c r="M141"/>
      <c r="N141" s="2"/>
      <c r="O141" s="2"/>
      <c r="P141" s="2"/>
      <c r="Q141" s="2"/>
      <c r="R141" s="2"/>
      <c r="S141"/>
      <c r="T141" s="4"/>
      <c r="U141" s="4"/>
    </row>
    <row r="142" spans="1:21" s="5" customFormat="1" x14ac:dyDescent="0.2">
      <c r="A142" s="2"/>
      <c r="B142" s="2"/>
      <c r="C142" s="56"/>
      <c r="D142" s="2"/>
      <c r="E142" s="56"/>
      <c r="F142"/>
      <c r="G142"/>
      <c r="H142"/>
      <c r="I142"/>
      <c r="J142"/>
      <c r="K142"/>
      <c r="L142"/>
      <c r="M142"/>
      <c r="N142" s="2"/>
      <c r="O142" s="2"/>
      <c r="P142" s="2"/>
      <c r="Q142" s="2"/>
      <c r="R142" s="2"/>
      <c r="S142"/>
      <c r="T142" s="4"/>
      <c r="U142" s="4"/>
    </row>
    <row r="143" spans="1:21" s="5" customFormat="1" x14ac:dyDescent="0.2">
      <c r="A143" s="2"/>
      <c r="B143" s="2"/>
      <c r="C143" s="56"/>
      <c r="D143" s="2"/>
      <c r="E143" s="56"/>
      <c r="F143"/>
      <c r="G143"/>
      <c r="H143"/>
      <c r="I143"/>
      <c r="J143"/>
      <c r="K143"/>
      <c r="L143"/>
      <c r="M143"/>
      <c r="N143" s="2"/>
      <c r="O143" s="2"/>
      <c r="P143" s="2"/>
      <c r="Q143" s="2"/>
      <c r="R143" s="2"/>
      <c r="S143"/>
      <c r="T143" s="4"/>
      <c r="U143" s="4"/>
    </row>
    <row r="144" spans="1:21" s="5" customFormat="1" x14ac:dyDescent="0.2">
      <c r="A144" s="2"/>
      <c r="B144" s="2"/>
      <c r="C144" s="56"/>
      <c r="D144" s="2"/>
      <c r="E144" s="56"/>
      <c r="F144"/>
      <c r="G144"/>
      <c r="H144"/>
      <c r="I144"/>
      <c r="J144"/>
      <c r="K144"/>
      <c r="L144"/>
      <c r="M144"/>
      <c r="N144" s="2"/>
      <c r="O144" s="2"/>
      <c r="P144" s="2"/>
      <c r="Q144" s="2"/>
      <c r="R144" s="2"/>
      <c r="S144"/>
      <c r="T144" s="4"/>
      <c r="U144" s="4"/>
    </row>
    <row r="145" spans="1:21" s="5" customFormat="1" x14ac:dyDescent="0.2">
      <c r="A145" s="2"/>
      <c r="B145" s="2"/>
      <c r="C145" s="56"/>
      <c r="D145" s="2"/>
      <c r="E145" s="56"/>
      <c r="F145"/>
      <c r="G145"/>
      <c r="H145"/>
      <c r="I145"/>
      <c r="J145"/>
      <c r="K145"/>
      <c r="L145"/>
      <c r="M145"/>
      <c r="N145" s="2"/>
      <c r="O145" s="2"/>
      <c r="P145" s="2"/>
      <c r="Q145" s="2"/>
      <c r="R145" s="2"/>
      <c r="S145"/>
      <c r="T145" s="4"/>
      <c r="U145" s="4"/>
    </row>
    <row r="146" spans="1:21" s="5" customFormat="1" x14ac:dyDescent="0.2">
      <c r="A146" s="2"/>
      <c r="B146" s="2"/>
      <c r="C146" s="56"/>
      <c r="D146" s="2"/>
      <c r="E146" s="56"/>
      <c r="F146"/>
      <c r="G146"/>
      <c r="H146"/>
      <c r="I146"/>
      <c r="J146"/>
      <c r="K146"/>
      <c r="L146"/>
      <c r="M146"/>
      <c r="N146" s="2"/>
      <c r="O146" s="2"/>
      <c r="P146" s="2"/>
      <c r="Q146" s="2"/>
      <c r="R146" s="2"/>
      <c r="S146"/>
      <c r="T146" s="4"/>
      <c r="U146" s="4"/>
    </row>
    <row r="147" spans="1:21" s="5" customFormat="1" x14ac:dyDescent="0.2">
      <c r="A147" s="2"/>
      <c r="B147" s="2"/>
      <c r="C147" s="56"/>
      <c r="D147" s="2"/>
      <c r="E147" s="56"/>
      <c r="F147"/>
      <c r="G147"/>
      <c r="H147"/>
      <c r="I147"/>
      <c r="J147"/>
      <c r="K147"/>
      <c r="L147"/>
      <c r="M147"/>
      <c r="N147" s="2"/>
      <c r="O147" s="2"/>
      <c r="P147" s="2"/>
      <c r="Q147" s="2"/>
      <c r="R147" s="2"/>
      <c r="S147"/>
      <c r="T147" s="4"/>
      <c r="U147" s="4"/>
    </row>
  </sheetData>
  <sheetProtection algorithmName="SHA-512" hashValue="gqZ6gxJxP14wKjSiwT7gl2KxAPgPorWJ6o8kUu2OQxQ1SwvZ+zLgIi8BKwWno6en07JueDbN78rZh1M1Zddi5Q==" saltValue="4jUHcW8nIx+sgnc3pSXskw==" spinCount="100000" sheet="1" selectLockedCells="1"/>
  <autoFilter ref="B3:R3" xr:uid="{7C6FC6D5-AAC8-4523-858D-0892689D2677}"/>
  <mergeCells count="9">
    <mergeCell ref="B1:R1"/>
    <mergeCell ref="A2:E2"/>
    <mergeCell ref="F2:F3"/>
    <mergeCell ref="G2:G3"/>
    <mergeCell ref="H2:H3"/>
    <mergeCell ref="I2:I3"/>
    <mergeCell ref="J2:J3"/>
    <mergeCell ref="K2:N2"/>
    <mergeCell ref="O2:R2"/>
  </mergeCells>
  <dataValidations disablePrompts="1" count="1">
    <dataValidation type="list" allowBlank="1" showInputMessage="1" showErrorMessage="1" sqref="T3" xr:uid="{7D253ECB-3F23-476F-9B83-E679568FD146}">
      <formula1>"SCM,BRD,CER"</formula1>
    </dataValidation>
  </dataValidations>
  <pageMargins left="0.7" right="0.7" top="0.75" bottom="0.75" header="0.3" footer="0.3"/>
  <pageSetup paperSize="8" scale="62" fitToHeight="0" orientation="landscape" r:id="rId1"/>
  <headerFooter>
    <oddHeader>&amp;C&amp;"Calibri"&amp;10&amp;K000000 Official&amp;1#_x000D_</oddHeader>
    <oddFooter>&amp;C_x000D_&amp;1#&amp;"Calibri"&amp;10&amp;K000000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3030-7532-4EDB-BEC7-78C6945898E4}">
  <sheetPr>
    <tabColor rgb="FF00B0F0"/>
    <pageSetUpPr fitToPage="1"/>
  </sheetPr>
  <dimension ref="A1:V143"/>
  <sheetViews>
    <sheetView topLeftCell="B1" zoomScale="70" zoomScaleNormal="70" workbookViewId="0">
      <selection activeCell="V6" sqref="V6"/>
    </sheetView>
  </sheetViews>
  <sheetFormatPr defaultColWidth="8.875" defaultRowHeight="14.25" x14ac:dyDescent="0.2"/>
  <cols>
    <col min="1" max="1" width="8.625" style="2" customWidth="1"/>
    <col min="2" max="2" width="9.625" style="2" customWidth="1"/>
    <col min="3" max="3" width="9.625" style="56" customWidth="1"/>
    <col min="4" max="4" width="9.625" style="2" customWidth="1"/>
    <col min="5" max="5" width="9.625" style="56" customWidth="1"/>
    <col min="6" max="6" width="60.625" customWidth="1"/>
    <col min="7" max="7" width="17.125" customWidth="1"/>
    <col min="8" max="8" width="18.125" customWidth="1"/>
    <col min="9" max="9" width="10.125" customWidth="1"/>
    <col min="10" max="10" width="15.125" customWidth="1"/>
    <col min="11" max="11" width="38.875" customWidth="1"/>
    <col min="12" max="13" width="11.625" customWidth="1"/>
    <col min="14" max="14" width="11.625" style="2" customWidth="1"/>
    <col min="15" max="18" width="8.875" style="2"/>
    <col min="22" max="22" width="8.875" style="5"/>
    <col min="23" max="23" width="16.125" bestFit="1" customWidth="1"/>
    <col min="25" max="25" width="15.125" customWidth="1"/>
  </cols>
  <sheetData>
    <row r="1" spans="1:22" ht="18" x14ac:dyDescent="0.25">
      <c r="A1" s="38"/>
      <c r="B1" s="118" t="s">
        <v>527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V1" s="5" t="s">
        <v>417</v>
      </c>
    </row>
    <row r="2" spans="1:22" x14ac:dyDescent="0.2">
      <c r="A2" s="121" t="s">
        <v>250</v>
      </c>
      <c r="B2" s="121"/>
      <c r="C2" s="121"/>
      <c r="D2" s="121"/>
      <c r="E2" s="121"/>
      <c r="F2" s="119" t="s">
        <v>10</v>
      </c>
      <c r="G2" s="119" t="s">
        <v>11</v>
      </c>
      <c r="H2" s="119" t="s">
        <v>13</v>
      </c>
      <c r="I2" s="120" t="s">
        <v>15</v>
      </c>
      <c r="J2" s="119" t="s">
        <v>17</v>
      </c>
      <c r="K2" s="119" t="s">
        <v>26</v>
      </c>
      <c r="L2" s="119"/>
      <c r="M2" s="119"/>
      <c r="N2" s="119"/>
      <c r="O2" s="119" t="s">
        <v>34</v>
      </c>
      <c r="P2" s="119"/>
      <c r="Q2" s="119"/>
      <c r="R2" s="119"/>
    </row>
    <row r="3" spans="1:22" x14ac:dyDescent="0.2">
      <c r="A3" s="29" t="s">
        <v>0</v>
      </c>
      <c r="B3" s="29" t="s">
        <v>2</v>
      </c>
      <c r="C3" s="51" t="s">
        <v>4</v>
      </c>
      <c r="D3" s="29" t="s">
        <v>6</v>
      </c>
      <c r="E3" s="51" t="s">
        <v>8</v>
      </c>
      <c r="F3" s="119"/>
      <c r="G3" s="119"/>
      <c r="H3" s="119"/>
      <c r="I3" s="120"/>
      <c r="J3" s="119"/>
      <c r="K3" s="7" t="s">
        <v>27</v>
      </c>
      <c r="L3" s="7" t="s">
        <v>4</v>
      </c>
      <c r="M3" s="7" t="s">
        <v>30</v>
      </c>
      <c r="N3" s="28" t="s">
        <v>32</v>
      </c>
      <c r="O3" s="28" t="s">
        <v>35</v>
      </c>
      <c r="P3" s="28" t="s">
        <v>37</v>
      </c>
      <c r="Q3" s="28" t="s">
        <v>39</v>
      </c>
      <c r="R3" s="28" t="s">
        <v>41</v>
      </c>
      <c r="T3" s="3" t="s">
        <v>251</v>
      </c>
    </row>
    <row r="4" spans="1:22" ht="14.25" customHeight="1" x14ac:dyDescent="0.2">
      <c r="A4" s="48" t="s">
        <v>252</v>
      </c>
      <c r="B4" s="48"/>
      <c r="C4" s="52">
        <f>$C$26-TIME(5,30,0)</f>
        <v>0.20833333333333334</v>
      </c>
      <c r="D4" s="52"/>
      <c r="E4" s="52"/>
      <c r="F4" s="36" t="s">
        <v>253</v>
      </c>
      <c r="G4" s="18"/>
      <c r="H4" s="18"/>
      <c r="I4" s="18" t="s">
        <v>254</v>
      </c>
      <c r="J4" s="37"/>
      <c r="K4" s="37"/>
      <c r="L4" s="105"/>
      <c r="M4" s="105"/>
      <c r="N4" s="38"/>
      <c r="O4" s="38"/>
      <c r="P4" s="38"/>
      <c r="Q4" s="38"/>
      <c r="R4" s="38" t="s">
        <v>256</v>
      </c>
    </row>
    <row r="5" spans="1:22" ht="14.25" customHeight="1" x14ac:dyDescent="0.2">
      <c r="A5" s="48" t="s">
        <v>252</v>
      </c>
      <c r="B5" s="48"/>
      <c r="C5" s="52">
        <f>$C$26-TIME(5,15,0)</f>
        <v>0.21875</v>
      </c>
      <c r="D5" s="52">
        <f>E5-C5</f>
        <v>2.0833333333333343E-2</v>
      </c>
      <c r="E5" s="52">
        <v>0.23958333333333334</v>
      </c>
      <c r="F5" s="39" t="s">
        <v>257</v>
      </c>
      <c r="G5" s="18"/>
      <c r="H5" s="18"/>
      <c r="I5" s="18" t="s">
        <v>254</v>
      </c>
      <c r="J5" s="37"/>
      <c r="K5" s="37"/>
      <c r="L5" s="105"/>
      <c r="M5" s="105"/>
      <c r="N5" s="38"/>
      <c r="O5" s="38"/>
      <c r="P5" s="38"/>
      <c r="Q5" s="38"/>
      <c r="R5" s="38"/>
    </row>
    <row r="6" spans="1:22" x14ac:dyDescent="0.2">
      <c r="A6" s="48" t="s">
        <v>252</v>
      </c>
      <c r="B6" s="48"/>
      <c r="C6" s="52">
        <v>0.25</v>
      </c>
      <c r="D6" s="52">
        <f>E6-C6</f>
        <v>0.75</v>
      </c>
      <c r="E6" s="52">
        <v>1</v>
      </c>
      <c r="F6" s="36" t="s">
        <v>258</v>
      </c>
      <c r="G6" s="18"/>
      <c r="H6" s="18"/>
      <c r="I6" s="18" t="s">
        <v>254</v>
      </c>
      <c r="J6" s="37"/>
      <c r="K6" s="37"/>
      <c r="L6" s="105"/>
      <c r="M6" s="105"/>
      <c r="N6" s="38"/>
      <c r="O6" s="38"/>
      <c r="P6" s="38"/>
      <c r="Q6" s="38"/>
      <c r="R6" s="38" t="s">
        <v>256</v>
      </c>
      <c r="T6" s="4"/>
      <c r="U6" s="4"/>
      <c r="V6" s="6"/>
    </row>
    <row r="7" spans="1:22" x14ac:dyDescent="0.2">
      <c r="A7" s="48" t="s">
        <v>252</v>
      </c>
      <c r="B7" s="48"/>
      <c r="C7" s="52">
        <v>0.25694444444444448</v>
      </c>
      <c r="D7" s="52"/>
      <c r="E7" s="52"/>
      <c r="F7" s="18" t="s">
        <v>259</v>
      </c>
      <c r="G7" s="18"/>
      <c r="H7" s="18"/>
      <c r="I7" s="18" t="s">
        <v>254</v>
      </c>
      <c r="J7" s="37"/>
      <c r="K7" s="37"/>
      <c r="L7" s="105"/>
      <c r="M7" s="105"/>
      <c r="N7" s="38"/>
      <c r="O7" s="38"/>
      <c r="P7" s="38"/>
      <c r="Q7" s="38"/>
      <c r="R7" s="38" t="s">
        <v>256</v>
      </c>
      <c r="T7" s="4"/>
      <c r="U7" s="4"/>
      <c r="V7" s="6"/>
    </row>
    <row r="8" spans="1:22" x14ac:dyDescent="0.2">
      <c r="A8" s="48" t="s">
        <v>252</v>
      </c>
      <c r="B8" s="48"/>
      <c r="C8" s="52">
        <v>0.27083333333333331</v>
      </c>
      <c r="D8" s="52">
        <f>E8-C8</f>
        <v>0.66666666666666674</v>
      </c>
      <c r="E8" s="52">
        <v>0.9375</v>
      </c>
      <c r="F8" s="62" t="s">
        <v>260</v>
      </c>
      <c r="G8" s="18" t="s">
        <v>261</v>
      </c>
      <c r="H8" s="18" t="s">
        <v>528</v>
      </c>
      <c r="I8" s="18" t="s">
        <v>254</v>
      </c>
      <c r="J8" s="37"/>
      <c r="K8" s="37"/>
      <c r="L8" s="105"/>
      <c r="M8" s="105"/>
      <c r="N8" s="38"/>
      <c r="O8" s="38"/>
      <c r="P8" s="38"/>
      <c r="Q8" s="38"/>
      <c r="R8" s="38" t="s">
        <v>256</v>
      </c>
      <c r="T8" s="4"/>
      <c r="U8" s="4"/>
    </row>
    <row r="9" spans="1:22" x14ac:dyDescent="0.2">
      <c r="A9" s="48" t="s">
        <v>252</v>
      </c>
      <c r="B9" s="48"/>
      <c r="C9" s="52">
        <f>$C$26-TIME(3,30,0)</f>
        <v>0.29166666666666663</v>
      </c>
      <c r="D9" s="52"/>
      <c r="E9" s="52"/>
      <c r="F9" s="69" t="s">
        <v>262</v>
      </c>
      <c r="G9" s="18"/>
      <c r="H9" s="18"/>
      <c r="I9" s="18" t="s">
        <v>254</v>
      </c>
      <c r="J9" s="37"/>
      <c r="K9" s="37"/>
      <c r="L9" s="105"/>
      <c r="M9" s="105"/>
      <c r="N9" s="38"/>
      <c r="O9" s="38"/>
      <c r="P9" s="38"/>
      <c r="Q9" s="38"/>
      <c r="R9" s="38"/>
      <c r="T9" s="4"/>
      <c r="U9" s="4"/>
    </row>
    <row r="10" spans="1:22" x14ac:dyDescent="0.2">
      <c r="A10" s="48" t="s">
        <v>252</v>
      </c>
      <c r="B10" s="48"/>
      <c r="C10" s="52">
        <v>0.29166666666666669</v>
      </c>
      <c r="D10" s="52">
        <f>E10-C10</f>
        <v>0.4583333333333332</v>
      </c>
      <c r="E10" s="52">
        <f>$C$66+TIME(1,0,0)</f>
        <v>0.74999999999999989</v>
      </c>
      <c r="F10" s="18" t="s">
        <v>263</v>
      </c>
      <c r="G10" s="18" t="s">
        <v>264</v>
      </c>
      <c r="H10" s="18" t="s">
        <v>529</v>
      </c>
      <c r="I10" s="18" t="s">
        <v>254</v>
      </c>
      <c r="J10" s="37"/>
      <c r="K10" s="37"/>
      <c r="L10" s="105"/>
      <c r="M10" s="105"/>
      <c r="N10" s="38"/>
      <c r="O10" s="38" t="s">
        <v>256</v>
      </c>
      <c r="P10" s="38"/>
      <c r="Q10" s="38"/>
      <c r="R10" s="38" t="s">
        <v>256</v>
      </c>
      <c r="T10" s="4"/>
      <c r="U10" s="4"/>
    </row>
    <row r="11" spans="1:22" x14ac:dyDescent="0.2">
      <c r="A11" s="48" t="s">
        <v>252</v>
      </c>
      <c r="B11" s="48"/>
      <c r="C11" s="52">
        <v>0.29166666666666669</v>
      </c>
      <c r="D11" s="52">
        <f>E11-C11</f>
        <v>0.10416666666666663</v>
      </c>
      <c r="E11" s="52">
        <v>0.39583333333333331</v>
      </c>
      <c r="F11" s="62" t="s">
        <v>265</v>
      </c>
      <c r="G11" s="18" t="s">
        <v>266</v>
      </c>
      <c r="H11" s="18"/>
      <c r="I11" s="18" t="s">
        <v>254</v>
      </c>
      <c r="J11" s="37"/>
      <c r="K11" s="37"/>
      <c r="L11" s="105"/>
      <c r="M11" s="105"/>
      <c r="N11" s="38"/>
      <c r="O11" s="38" t="s">
        <v>256</v>
      </c>
      <c r="P11" s="38"/>
      <c r="Q11" s="38"/>
      <c r="R11" s="38" t="s">
        <v>256</v>
      </c>
      <c r="T11" s="4"/>
      <c r="U11" s="4"/>
    </row>
    <row r="12" spans="1:22" ht="14.25" customHeight="1" x14ac:dyDescent="0.2">
      <c r="A12" s="48" t="s">
        <v>252</v>
      </c>
      <c r="B12" s="48"/>
      <c r="C12" s="52">
        <f>$C$26-TIME(2,30,0)</f>
        <v>0.33333333333333331</v>
      </c>
      <c r="D12" s="52"/>
      <c r="E12" s="52"/>
      <c r="F12" s="69" t="s">
        <v>267</v>
      </c>
      <c r="G12" s="18"/>
      <c r="H12" s="18"/>
      <c r="I12" s="18" t="s">
        <v>254</v>
      </c>
      <c r="J12" s="37"/>
      <c r="K12" s="37"/>
      <c r="L12" s="105"/>
      <c r="M12" s="105"/>
      <c r="N12" s="38"/>
      <c r="O12" s="38"/>
      <c r="P12" s="38"/>
      <c r="Q12" s="38"/>
      <c r="R12" s="38"/>
      <c r="T12" s="4"/>
      <c r="U12" s="4"/>
    </row>
    <row r="13" spans="1:22" x14ac:dyDescent="0.2">
      <c r="A13" s="48" t="s">
        <v>252</v>
      </c>
      <c r="B13" s="48"/>
      <c r="C13" s="52">
        <f>$C$26-TIME(2,30,0)</f>
        <v>0.33333333333333331</v>
      </c>
      <c r="D13" s="52">
        <f>E13-C13</f>
        <v>9.375E-2</v>
      </c>
      <c r="E13" s="52">
        <f>$C$26-TIME(0,15,0)</f>
        <v>0.42708333333333331</v>
      </c>
      <c r="F13" s="18" t="s">
        <v>268</v>
      </c>
      <c r="G13" s="18" t="s">
        <v>269</v>
      </c>
      <c r="H13" s="18"/>
      <c r="I13" s="18" t="s">
        <v>254</v>
      </c>
      <c r="J13" s="37"/>
      <c r="K13" s="37"/>
      <c r="L13" s="105"/>
      <c r="M13" s="105"/>
      <c r="N13" s="38"/>
      <c r="O13" s="38" t="s">
        <v>256</v>
      </c>
      <c r="P13" s="38"/>
      <c r="Q13" s="38"/>
      <c r="R13" s="38" t="s">
        <v>256</v>
      </c>
      <c r="T13" s="4"/>
      <c r="U13" s="4"/>
      <c r="V13" s="6"/>
    </row>
    <row r="14" spans="1:22" x14ac:dyDescent="0.2">
      <c r="A14" s="48" t="s">
        <v>252</v>
      </c>
      <c r="B14" s="48"/>
      <c r="C14" s="52">
        <f>$C$26-TIME(2,0,0)</f>
        <v>0.35416666666666669</v>
      </c>
      <c r="D14" s="52"/>
      <c r="E14" s="52"/>
      <c r="F14" s="92" t="s">
        <v>53</v>
      </c>
      <c r="G14" s="18"/>
      <c r="H14" s="18"/>
      <c r="I14" s="18" t="s">
        <v>254</v>
      </c>
      <c r="J14" s="37"/>
      <c r="K14" s="37"/>
      <c r="L14" s="105"/>
      <c r="M14" s="105"/>
      <c r="N14" s="38"/>
      <c r="O14" s="38"/>
      <c r="P14" s="38"/>
      <c r="Q14" s="38"/>
      <c r="R14" s="38"/>
      <c r="T14" s="4"/>
      <c r="U14" s="4"/>
    </row>
    <row r="15" spans="1:22" x14ac:dyDescent="0.2">
      <c r="A15" s="48" t="s">
        <v>252</v>
      </c>
      <c r="B15" s="48"/>
      <c r="C15" s="52">
        <f>$C$26-TIME(2,0,0)</f>
        <v>0.35416666666666669</v>
      </c>
      <c r="D15" s="52"/>
      <c r="E15" s="52"/>
      <c r="F15" s="18" t="s">
        <v>270</v>
      </c>
      <c r="G15" s="18" t="s">
        <v>271</v>
      </c>
      <c r="H15" s="18" t="s">
        <v>530</v>
      </c>
      <c r="I15" s="18" t="s">
        <v>254</v>
      </c>
      <c r="J15" s="37"/>
      <c r="K15" s="37"/>
      <c r="L15" s="105"/>
      <c r="M15" s="105"/>
      <c r="N15" s="38"/>
      <c r="O15" s="38"/>
      <c r="P15" s="38"/>
      <c r="Q15" s="38"/>
      <c r="R15" s="38" t="s">
        <v>256</v>
      </c>
      <c r="T15" s="4"/>
      <c r="U15" s="4"/>
      <c r="V15" s="6"/>
    </row>
    <row r="16" spans="1:22" x14ac:dyDescent="0.2">
      <c r="A16" s="48" t="s">
        <v>252</v>
      </c>
      <c r="B16" s="48"/>
      <c r="C16" s="52">
        <f>$C$26-TIME(1,30,0)</f>
        <v>0.375</v>
      </c>
      <c r="D16" s="52">
        <v>6.25E-2</v>
      </c>
      <c r="E16" s="52">
        <f>$C$26-TIME(0,0,0)</f>
        <v>0.4375</v>
      </c>
      <c r="F16" s="69" t="s">
        <v>55</v>
      </c>
      <c r="G16" s="18" t="s">
        <v>39</v>
      </c>
      <c r="H16" s="18" t="s">
        <v>531</v>
      </c>
      <c r="I16" s="18" t="s">
        <v>254</v>
      </c>
      <c r="J16" s="37"/>
      <c r="K16" s="37"/>
      <c r="L16" s="105"/>
      <c r="M16" s="105"/>
      <c r="N16" s="38"/>
      <c r="O16" s="38" t="s">
        <v>256</v>
      </c>
      <c r="P16" s="38"/>
      <c r="Q16" s="38" t="s">
        <v>256</v>
      </c>
      <c r="R16" s="38" t="s">
        <v>256</v>
      </c>
      <c r="T16" s="4"/>
      <c r="U16" s="4"/>
    </row>
    <row r="17" spans="1:22" x14ac:dyDescent="0.2">
      <c r="A17" s="48" t="s">
        <v>252</v>
      </c>
      <c r="B17" s="48"/>
      <c r="C17" s="52">
        <f>$C$26-TIME(1,15,0)</f>
        <v>0.38541666666666669</v>
      </c>
      <c r="D17" s="52"/>
      <c r="E17" s="52"/>
      <c r="F17" s="18" t="s">
        <v>272</v>
      </c>
      <c r="G17" s="18" t="s">
        <v>271</v>
      </c>
      <c r="H17" s="18" t="s">
        <v>530</v>
      </c>
      <c r="I17" s="18" t="s">
        <v>254</v>
      </c>
      <c r="J17" s="37"/>
      <c r="K17" s="37"/>
      <c r="L17" s="105"/>
      <c r="M17" s="105"/>
      <c r="N17" s="38"/>
      <c r="O17" s="38"/>
      <c r="P17" s="38"/>
      <c r="Q17" s="38"/>
      <c r="R17" s="38" t="s">
        <v>256</v>
      </c>
      <c r="T17" s="4"/>
      <c r="U17" s="4"/>
    </row>
    <row r="18" spans="1:22" x14ac:dyDescent="0.2">
      <c r="A18" s="48" t="s">
        <v>252</v>
      </c>
      <c r="B18" s="48"/>
      <c r="C18" s="52">
        <f>$C$26-TIME(1,0,0)</f>
        <v>0.39583333333333331</v>
      </c>
      <c r="D18" s="52">
        <f>E18-C18</f>
        <v>2.083333333333337E-2</v>
      </c>
      <c r="E18" s="52">
        <v>0.41666666666666669</v>
      </c>
      <c r="F18" s="18" t="s">
        <v>52</v>
      </c>
      <c r="G18" s="18" t="s">
        <v>271</v>
      </c>
      <c r="H18" s="18" t="s">
        <v>530</v>
      </c>
      <c r="I18" s="18" t="s">
        <v>254</v>
      </c>
      <c r="J18" s="37"/>
      <c r="K18" s="37"/>
      <c r="L18" s="105"/>
      <c r="M18" s="105"/>
      <c r="N18" s="38"/>
      <c r="O18" s="38"/>
      <c r="P18" s="38"/>
      <c r="Q18" s="38"/>
      <c r="R18" s="38"/>
      <c r="T18" s="4"/>
      <c r="U18" s="4"/>
    </row>
    <row r="19" spans="1:22" x14ac:dyDescent="0.2">
      <c r="A19" s="48" t="s">
        <v>252</v>
      </c>
      <c r="B19" s="48"/>
      <c r="C19" s="52">
        <v>0.39583333333333331</v>
      </c>
      <c r="D19" s="52"/>
      <c r="E19" s="52"/>
      <c r="F19" s="62" t="s">
        <v>273</v>
      </c>
      <c r="G19" s="18" t="s">
        <v>266</v>
      </c>
      <c r="H19" s="18"/>
      <c r="I19" s="18" t="s">
        <v>254</v>
      </c>
      <c r="J19" s="37"/>
      <c r="K19" s="37"/>
      <c r="L19" s="105"/>
      <c r="M19" s="105"/>
      <c r="N19" s="38"/>
      <c r="O19" s="38" t="s">
        <v>256</v>
      </c>
      <c r="P19" s="38"/>
      <c r="Q19" s="38" t="s">
        <v>256</v>
      </c>
      <c r="R19" s="38" t="s">
        <v>256</v>
      </c>
      <c r="T19" s="4"/>
      <c r="U19" s="4"/>
    </row>
    <row r="20" spans="1:22" x14ac:dyDescent="0.2">
      <c r="A20" s="48" t="s">
        <v>252</v>
      </c>
      <c r="B20" s="48"/>
      <c r="C20" s="52">
        <f>$C$26-TIME(0,15,0)</f>
        <v>0.42708333333333331</v>
      </c>
      <c r="D20" s="52"/>
      <c r="E20" s="52"/>
      <c r="F20" s="18" t="s">
        <v>274</v>
      </c>
      <c r="G20" s="18" t="s">
        <v>269</v>
      </c>
      <c r="H20" s="18"/>
      <c r="I20" s="18" t="s">
        <v>254</v>
      </c>
      <c r="J20" s="37"/>
      <c r="K20" s="37"/>
      <c r="L20" s="105"/>
      <c r="M20" s="105"/>
      <c r="N20" s="38"/>
      <c r="O20" s="38" t="s">
        <v>256</v>
      </c>
      <c r="P20" s="38"/>
      <c r="Q20" s="38" t="s">
        <v>256</v>
      </c>
      <c r="R20" s="38" t="s">
        <v>256</v>
      </c>
      <c r="T20" s="4"/>
      <c r="U20" s="4"/>
    </row>
    <row r="21" spans="1:22" x14ac:dyDescent="0.2">
      <c r="A21" s="48" t="s">
        <v>252</v>
      </c>
      <c r="B21" s="48"/>
      <c r="C21" s="52">
        <f>$C$26-TIME(0,15,0)</f>
        <v>0.42708333333333331</v>
      </c>
      <c r="D21" s="52">
        <f>E21-C21</f>
        <v>6.0069444444445841E-2</v>
      </c>
      <c r="E21" s="52">
        <f>C55</f>
        <v>0.48715277777777916</v>
      </c>
      <c r="F21" s="18" t="s">
        <v>56</v>
      </c>
      <c r="G21" s="18" t="s">
        <v>269</v>
      </c>
      <c r="H21" s="18"/>
      <c r="I21" s="18" t="s">
        <v>254</v>
      </c>
      <c r="J21" s="37"/>
      <c r="K21" s="37"/>
      <c r="L21" s="105"/>
      <c r="M21" s="105"/>
      <c r="N21" s="38"/>
      <c r="O21" s="38" t="s">
        <v>256</v>
      </c>
      <c r="P21" s="38"/>
      <c r="Q21" s="38" t="s">
        <v>256</v>
      </c>
      <c r="R21" s="38" t="s">
        <v>256</v>
      </c>
      <c r="T21" s="4"/>
      <c r="U21" s="4"/>
    </row>
    <row r="22" spans="1:22" x14ac:dyDescent="0.2">
      <c r="A22" s="48" t="s">
        <v>252</v>
      </c>
      <c r="B22" s="48"/>
      <c r="C22" s="52">
        <f>$C$26-TIME(0,5,0)</f>
        <v>0.43402777777777779</v>
      </c>
      <c r="D22" s="52">
        <f>E22-C22</f>
        <v>2.4305555555555469E-3</v>
      </c>
      <c r="E22" s="52">
        <f>$C$26-TIME(0,1,30)</f>
        <v>0.43645833333333334</v>
      </c>
      <c r="F22" s="18" t="s">
        <v>275</v>
      </c>
      <c r="G22" s="18" t="s">
        <v>269</v>
      </c>
      <c r="H22" s="18"/>
      <c r="I22" s="18" t="s">
        <v>254</v>
      </c>
      <c r="J22" s="18" t="s">
        <v>532</v>
      </c>
      <c r="K22" s="37"/>
      <c r="L22" s="105"/>
      <c r="M22" s="105"/>
      <c r="N22" s="38"/>
      <c r="O22" s="38" t="s">
        <v>256</v>
      </c>
      <c r="P22" s="38" t="s">
        <v>256</v>
      </c>
      <c r="Q22" s="38" t="s">
        <v>256</v>
      </c>
      <c r="R22" s="38"/>
      <c r="T22" s="4"/>
      <c r="U22" s="4"/>
    </row>
    <row r="23" spans="1:22" x14ac:dyDescent="0.2">
      <c r="A23" s="48" t="s">
        <v>252</v>
      </c>
      <c r="B23" s="48"/>
      <c r="C23" s="52">
        <f>$C$26-TIME(0,1,30)</f>
        <v>0.43645833333333334</v>
      </c>
      <c r="D23" s="52">
        <f>E23-C23</f>
        <v>3.4722222222222099E-4</v>
      </c>
      <c r="E23" s="52">
        <f>$C$26-TIME(0,1,0)</f>
        <v>0.43680555555555556</v>
      </c>
      <c r="F23" s="18" t="s">
        <v>277</v>
      </c>
      <c r="G23" s="18" t="s">
        <v>269</v>
      </c>
      <c r="H23" s="18"/>
      <c r="I23" s="18" t="s">
        <v>254</v>
      </c>
      <c r="J23" s="18" t="s">
        <v>532</v>
      </c>
      <c r="K23" s="37"/>
      <c r="L23" s="105"/>
      <c r="M23" s="105"/>
      <c r="N23" s="38"/>
      <c r="O23" s="38" t="s">
        <v>256</v>
      </c>
      <c r="P23" s="38" t="s">
        <v>256</v>
      </c>
      <c r="Q23" s="38" t="s">
        <v>256</v>
      </c>
      <c r="R23" s="38"/>
      <c r="T23" s="4"/>
      <c r="U23" s="4"/>
    </row>
    <row r="24" spans="1:22" x14ac:dyDescent="0.2">
      <c r="A24" s="48" t="s">
        <v>252</v>
      </c>
      <c r="B24" s="48"/>
      <c r="C24" s="52">
        <f>$C$26-TIME(0,1,0)</f>
        <v>0.43680555555555556</v>
      </c>
      <c r="D24" s="52">
        <f>E24-C24</f>
        <v>6.9444444444444198E-4</v>
      </c>
      <c r="E24" s="52">
        <f>$C$26-TIME(0,0,0)</f>
        <v>0.4375</v>
      </c>
      <c r="F24" s="18" t="s">
        <v>278</v>
      </c>
      <c r="G24" s="18"/>
      <c r="H24" s="18"/>
      <c r="I24" s="18"/>
      <c r="J24" s="18"/>
      <c r="K24" s="37"/>
      <c r="L24" s="105"/>
      <c r="M24" s="105"/>
      <c r="N24" s="38"/>
      <c r="O24" s="38"/>
      <c r="P24" s="38"/>
      <c r="Q24" s="38"/>
      <c r="R24" s="38"/>
      <c r="T24" s="4"/>
      <c r="U24" s="4"/>
    </row>
    <row r="25" spans="1:22" s="1" customFormat="1" x14ac:dyDescent="0.2">
      <c r="A25" s="75"/>
      <c r="B25" s="75"/>
      <c r="C25" s="65">
        <v>0.4375</v>
      </c>
      <c r="D25" s="75"/>
      <c r="E25" s="65"/>
      <c r="F25" s="31" t="s">
        <v>57</v>
      </c>
      <c r="G25" s="76"/>
      <c r="H25" s="76"/>
      <c r="I25" s="76" t="s">
        <v>254</v>
      </c>
      <c r="J25" s="76" t="s">
        <v>532</v>
      </c>
      <c r="K25" s="76"/>
      <c r="L25" s="108">
        <f t="shared" ref="L25:L56" si="0">C25</f>
        <v>0.4375</v>
      </c>
      <c r="M25" s="108"/>
      <c r="N25" s="75"/>
      <c r="O25" s="75" t="s">
        <v>256</v>
      </c>
      <c r="P25" s="75" t="s">
        <v>256</v>
      </c>
      <c r="Q25" s="75" t="s">
        <v>256</v>
      </c>
      <c r="R25" s="75" t="s">
        <v>256</v>
      </c>
      <c r="T25" s="73"/>
      <c r="U25" s="73"/>
      <c r="V25" s="74"/>
    </row>
    <row r="26" spans="1:22" x14ac:dyDescent="0.2">
      <c r="A26" s="43"/>
      <c r="B26" s="43"/>
      <c r="C26" s="57">
        <v>0.4375</v>
      </c>
      <c r="D26" s="43"/>
      <c r="E26" s="54"/>
      <c r="F26" s="32" t="s">
        <v>60</v>
      </c>
      <c r="G26" s="42"/>
      <c r="H26" s="42"/>
      <c r="I26" s="42" t="s">
        <v>254</v>
      </c>
      <c r="J26" s="42" t="s">
        <v>532</v>
      </c>
      <c r="K26" s="88"/>
      <c r="L26" s="104">
        <f t="shared" si="0"/>
        <v>0.4375</v>
      </c>
      <c r="M26" s="104"/>
      <c r="N26" s="43"/>
      <c r="O26" s="43" t="s">
        <v>256</v>
      </c>
      <c r="P26" s="43" t="s">
        <v>256</v>
      </c>
      <c r="Q26" s="43" t="s">
        <v>256</v>
      </c>
      <c r="R26" s="43" t="s">
        <v>256</v>
      </c>
      <c r="T26" s="4"/>
      <c r="U26" s="4"/>
    </row>
    <row r="27" spans="1:22" x14ac:dyDescent="0.2">
      <c r="A27" s="48" t="s">
        <v>279</v>
      </c>
      <c r="B27" s="52">
        <f t="shared" ref="B27:B54" si="1">C27-$C$26</f>
        <v>0</v>
      </c>
      <c r="C27" s="52">
        <f>'[1]Day 3-H'!$D$10</f>
        <v>0.4375</v>
      </c>
      <c r="D27" s="50">
        <f t="shared" ref="D27:D57" si="2">E27-C27</f>
        <v>2.5925925925926463E-3</v>
      </c>
      <c r="E27" s="52">
        <f>C28</f>
        <v>0.44009259259259265</v>
      </c>
      <c r="F27" s="47" t="s">
        <v>533</v>
      </c>
      <c r="G27" s="18" t="s">
        <v>269</v>
      </c>
      <c r="H27" s="18"/>
      <c r="I27" s="18" t="s">
        <v>254</v>
      </c>
      <c r="J27" s="18" t="s">
        <v>532</v>
      </c>
      <c r="K27" s="44" t="s">
        <v>534</v>
      </c>
      <c r="L27" s="105">
        <f t="shared" si="0"/>
        <v>0.4375</v>
      </c>
      <c r="M27" s="105">
        <f t="shared" ref="M27:M52" si="3">E27</f>
        <v>0.44009259259259265</v>
      </c>
      <c r="N27" s="38"/>
      <c r="O27" s="38" t="s">
        <v>256</v>
      </c>
      <c r="P27" s="38" t="s">
        <v>256</v>
      </c>
      <c r="Q27" s="38" t="s">
        <v>256</v>
      </c>
      <c r="R27" s="38"/>
      <c r="T27" s="4"/>
      <c r="U27" s="4"/>
    </row>
    <row r="28" spans="1:22" x14ac:dyDescent="0.2">
      <c r="A28" s="48" t="s">
        <v>279</v>
      </c>
      <c r="B28" s="52">
        <f t="shared" si="1"/>
        <v>2.5925925925926463E-3</v>
      </c>
      <c r="C28" s="52">
        <f>'[1]Day 3-H'!$D$13</f>
        <v>0.44009259259259265</v>
      </c>
      <c r="D28" s="50">
        <f t="shared" si="2"/>
        <v>2.6388888888889683E-3</v>
      </c>
      <c r="E28" s="52">
        <f>C29</f>
        <v>0.44273148148148161</v>
      </c>
      <c r="F28" s="47" t="s">
        <v>535</v>
      </c>
      <c r="G28" s="18" t="s">
        <v>269</v>
      </c>
      <c r="H28" s="18"/>
      <c r="I28" s="18" t="s">
        <v>254</v>
      </c>
      <c r="J28" s="18" t="s">
        <v>532</v>
      </c>
      <c r="K28" s="44" t="s">
        <v>536</v>
      </c>
      <c r="L28" s="105">
        <f t="shared" si="0"/>
        <v>0.44009259259259265</v>
      </c>
      <c r="M28" s="105">
        <f t="shared" si="3"/>
        <v>0.44273148148148161</v>
      </c>
      <c r="N28" s="38"/>
      <c r="O28" s="38" t="s">
        <v>256</v>
      </c>
      <c r="P28" s="38" t="s">
        <v>256</v>
      </c>
      <c r="Q28" s="38" t="s">
        <v>256</v>
      </c>
      <c r="R28" s="38"/>
      <c r="T28" s="4"/>
      <c r="U28" s="4"/>
    </row>
    <row r="29" spans="1:22" x14ac:dyDescent="0.2">
      <c r="A29" s="48" t="s">
        <v>279</v>
      </c>
      <c r="B29" s="52">
        <f t="shared" ref="B29" si="4">C29-$C$26</f>
        <v>5.2314814814816146E-3</v>
      </c>
      <c r="C29" s="52">
        <f>'[1]Day 3-H'!$D$19</f>
        <v>0.44273148148148161</v>
      </c>
      <c r="D29" s="50">
        <f t="shared" ref="D29" si="5">E29-C29</f>
        <v>2.9629629629630005E-3</v>
      </c>
      <c r="E29" s="52">
        <f t="shared" ref="E29:E54" si="6">C30</f>
        <v>0.44569444444444462</v>
      </c>
      <c r="F29" s="47" t="s">
        <v>537</v>
      </c>
      <c r="G29" s="18" t="s">
        <v>269</v>
      </c>
      <c r="H29" s="18"/>
      <c r="I29" s="18" t="s">
        <v>254</v>
      </c>
      <c r="J29" s="18" t="s">
        <v>532</v>
      </c>
      <c r="K29" s="44" t="s">
        <v>538</v>
      </c>
      <c r="L29" s="105">
        <f t="shared" ref="L29" si="7">C29</f>
        <v>0.44273148148148161</v>
      </c>
      <c r="M29" s="105">
        <f t="shared" ref="M29" si="8">E29</f>
        <v>0.44569444444444462</v>
      </c>
      <c r="N29" s="38"/>
      <c r="O29" s="38" t="s">
        <v>256</v>
      </c>
      <c r="P29" s="38" t="s">
        <v>256</v>
      </c>
      <c r="Q29" s="38" t="s">
        <v>256</v>
      </c>
      <c r="R29" s="38"/>
      <c r="T29" s="4"/>
      <c r="U29" s="4"/>
    </row>
    <row r="30" spans="1:22" x14ac:dyDescent="0.2">
      <c r="A30" s="48" t="s">
        <v>279</v>
      </c>
      <c r="B30" s="52">
        <f t="shared" si="1"/>
        <v>8.1944444444446152E-3</v>
      </c>
      <c r="C30" s="52">
        <f>'[1]Day 3-H'!$D$23</f>
        <v>0.44569444444444462</v>
      </c>
      <c r="D30" s="50">
        <f t="shared" si="2"/>
        <v>3.4722222222222654E-3</v>
      </c>
      <c r="E30" s="52">
        <f t="shared" si="6"/>
        <v>0.44916666666666688</v>
      </c>
      <c r="F30" s="47" t="s">
        <v>539</v>
      </c>
      <c r="G30" s="18" t="s">
        <v>269</v>
      </c>
      <c r="H30" s="18"/>
      <c r="I30" s="18" t="s">
        <v>254</v>
      </c>
      <c r="J30" s="18" t="s">
        <v>532</v>
      </c>
      <c r="K30" s="44" t="s">
        <v>540</v>
      </c>
      <c r="L30" s="105">
        <f t="shared" si="0"/>
        <v>0.44569444444444462</v>
      </c>
      <c r="M30" s="105">
        <f t="shared" si="3"/>
        <v>0.44916666666666688</v>
      </c>
      <c r="N30" s="38"/>
      <c r="O30" s="38" t="s">
        <v>256</v>
      </c>
      <c r="P30" s="38" t="s">
        <v>256</v>
      </c>
      <c r="Q30" s="38" t="s">
        <v>256</v>
      </c>
      <c r="R30" s="38"/>
      <c r="T30" s="4"/>
      <c r="U30" s="4"/>
    </row>
    <row r="31" spans="1:22" x14ac:dyDescent="0.2">
      <c r="A31" s="48" t="s">
        <v>279</v>
      </c>
      <c r="B31" s="52">
        <f t="shared" si="1"/>
        <v>1.1666666666666881E-2</v>
      </c>
      <c r="C31" s="52">
        <f>'[1]Day 3-H'!$D$29</f>
        <v>0.44916666666666688</v>
      </c>
      <c r="D31" s="50">
        <f t="shared" si="2"/>
        <v>3.3217592592593159E-3</v>
      </c>
      <c r="E31" s="52">
        <f t="shared" si="6"/>
        <v>0.4524884259259262</v>
      </c>
      <c r="F31" s="47" t="s">
        <v>541</v>
      </c>
      <c r="G31" s="18" t="s">
        <v>269</v>
      </c>
      <c r="H31" s="18"/>
      <c r="I31" s="18" t="s">
        <v>254</v>
      </c>
      <c r="J31" s="18" t="s">
        <v>532</v>
      </c>
      <c r="K31" s="44" t="s">
        <v>542</v>
      </c>
      <c r="L31" s="105">
        <f t="shared" si="0"/>
        <v>0.44916666666666688</v>
      </c>
      <c r="M31" s="105">
        <f t="shared" si="3"/>
        <v>0.4524884259259262</v>
      </c>
      <c r="N31" s="38"/>
      <c r="O31" s="38" t="s">
        <v>256</v>
      </c>
      <c r="P31" s="38" t="s">
        <v>256</v>
      </c>
      <c r="Q31" s="38" t="s">
        <v>256</v>
      </c>
      <c r="R31" s="38"/>
      <c r="T31" s="4"/>
      <c r="U31" s="4"/>
    </row>
    <row r="32" spans="1:22" x14ac:dyDescent="0.2">
      <c r="A32" s="48" t="s">
        <v>279</v>
      </c>
      <c r="B32" s="52">
        <f t="shared" si="1"/>
        <v>1.4988425925926196E-2</v>
      </c>
      <c r="C32" s="52">
        <f>'[1]Day 3-H'!$D$41</f>
        <v>0.4524884259259262</v>
      </c>
      <c r="D32" s="50">
        <f t="shared" si="2"/>
        <v>1.8518518518518823E-3</v>
      </c>
      <c r="E32" s="52">
        <f t="shared" si="6"/>
        <v>0.45434027777777808</v>
      </c>
      <c r="F32" s="47" t="s">
        <v>543</v>
      </c>
      <c r="G32" s="18" t="s">
        <v>269</v>
      </c>
      <c r="H32" s="18"/>
      <c r="I32" s="18" t="s">
        <v>254</v>
      </c>
      <c r="J32" s="18" t="s">
        <v>532</v>
      </c>
      <c r="K32" s="44" t="s">
        <v>544</v>
      </c>
      <c r="L32" s="105">
        <f t="shared" si="0"/>
        <v>0.4524884259259262</v>
      </c>
      <c r="M32" s="105">
        <f t="shared" si="3"/>
        <v>0.45434027777777808</v>
      </c>
      <c r="N32" s="38"/>
      <c r="O32" s="38" t="s">
        <v>256</v>
      </c>
      <c r="P32" s="38" t="s">
        <v>256</v>
      </c>
      <c r="Q32" s="38" t="s">
        <v>256</v>
      </c>
      <c r="R32" s="38"/>
      <c r="T32" s="4"/>
      <c r="U32" s="4"/>
    </row>
    <row r="33" spans="1:21" x14ac:dyDescent="0.2">
      <c r="A33" s="48" t="s">
        <v>279</v>
      </c>
      <c r="B33" s="52">
        <f t="shared" si="1"/>
        <v>1.6840277777778079E-2</v>
      </c>
      <c r="C33" s="52">
        <f>'[1]Day 3-H'!$D$44</f>
        <v>0.45434027777777808</v>
      </c>
      <c r="D33" s="50">
        <f t="shared" si="2"/>
        <v>1.2731481481482176E-3</v>
      </c>
      <c r="E33" s="52">
        <f t="shared" si="6"/>
        <v>0.4556134259259263</v>
      </c>
      <c r="F33" s="47" t="s">
        <v>545</v>
      </c>
      <c r="G33" s="18" t="s">
        <v>269</v>
      </c>
      <c r="H33" s="18"/>
      <c r="I33" s="18" t="s">
        <v>254</v>
      </c>
      <c r="J33" s="18" t="s">
        <v>532</v>
      </c>
      <c r="K33" s="44" t="s">
        <v>546</v>
      </c>
      <c r="L33" s="105">
        <f t="shared" si="0"/>
        <v>0.45434027777777808</v>
      </c>
      <c r="M33" s="105">
        <f t="shared" si="3"/>
        <v>0.4556134259259263</v>
      </c>
      <c r="N33" s="38"/>
      <c r="O33" s="38" t="s">
        <v>256</v>
      </c>
      <c r="P33" s="38" t="s">
        <v>256</v>
      </c>
      <c r="Q33" s="38" t="s">
        <v>256</v>
      </c>
      <c r="R33" s="38"/>
      <c r="T33" s="4"/>
      <c r="U33" s="4"/>
    </row>
    <row r="34" spans="1:21" x14ac:dyDescent="0.2">
      <c r="A34" s="48" t="s">
        <v>279</v>
      </c>
      <c r="B34" s="52">
        <f t="shared" si="1"/>
        <v>1.8113425925926296E-2</v>
      </c>
      <c r="C34" s="52">
        <f>'[1]Day 3-H'!$D$47</f>
        <v>0.4556134259259263</v>
      </c>
      <c r="D34" s="50">
        <f t="shared" si="2"/>
        <v>1.2615740740741233E-3</v>
      </c>
      <c r="E34" s="52">
        <f t="shared" si="6"/>
        <v>0.45687500000000042</v>
      </c>
      <c r="F34" s="47" t="s">
        <v>547</v>
      </c>
      <c r="G34" s="18" t="s">
        <v>269</v>
      </c>
      <c r="H34" s="18"/>
      <c r="I34" s="18" t="s">
        <v>254</v>
      </c>
      <c r="J34" s="18" t="s">
        <v>532</v>
      </c>
      <c r="K34" s="44" t="s">
        <v>548</v>
      </c>
      <c r="L34" s="105">
        <f t="shared" si="0"/>
        <v>0.4556134259259263</v>
      </c>
      <c r="M34" s="105">
        <f t="shared" si="3"/>
        <v>0.45687500000000042</v>
      </c>
      <c r="N34" s="38"/>
      <c r="O34" s="38" t="s">
        <v>256</v>
      </c>
      <c r="P34" s="38" t="s">
        <v>256</v>
      </c>
      <c r="Q34" s="38" t="s">
        <v>256</v>
      </c>
      <c r="R34" s="38"/>
      <c r="T34" s="4"/>
      <c r="U34" s="4"/>
    </row>
    <row r="35" spans="1:21" x14ac:dyDescent="0.2">
      <c r="A35" s="48" t="s">
        <v>279</v>
      </c>
      <c r="B35" s="52">
        <f t="shared" si="1"/>
        <v>1.937500000000042E-2</v>
      </c>
      <c r="C35" s="52">
        <f>'[1]Day 3-H'!$D$50</f>
        <v>0.45687500000000042</v>
      </c>
      <c r="D35" s="50">
        <f t="shared" si="2"/>
        <v>1.23842592592599E-3</v>
      </c>
      <c r="E35" s="52">
        <f t="shared" si="6"/>
        <v>0.45811342592592641</v>
      </c>
      <c r="F35" s="47" t="s">
        <v>549</v>
      </c>
      <c r="G35" s="18" t="s">
        <v>269</v>
      </c>
      <c r="H35" s="18"/>
      <c r="I35" s="18" t="s">
        <v>254</v>
      </c>
      <c r="J35" s="18" t="s">
        <v>532</v>
      </c>
      <c r="K35" s="44" t="s">
        <v>550</v>
      </c>
      <c r="L35" s="105">
        <f t="shared" si="0"/>
        <v>0.45687500000000042</v>
      </c>
      <c r="M35" s="105">
        <f t="shared" si="3"/>
        <v>0.45811342592592641</v>
      </c>
      <c r="N35" s="38"/>
      <c r="O35" s="38" t="s">
        <v>256</v>
      </c>
      <c r="P35" s="38" t="s">
        <v>256</v>
      </c>
      <c r="Q35" s="38" t="s">
        <v>256</v>
      </c>
      <c r="R35" s="38"/>
      <c r="T35" s="4"/>
      <c r="U35" s="4"/>
    </row>
    <row r="36" spans="1:21" x14ac:dyDescent="0.2">
      <c r="A36" s="48" t="s">
        <v>279</v>
      </c>
      <c r="B36" s="52">
        <f t="shared" si="1"/>
        <v>2.061342592592641E-2</v>
      </c>
      <c r="C36" s="52">
        <f>'[1]Day 3-H'!$D$53</f>
        <v>0.45811342592592641</v>
      </c>
      <c r="D36" s="50">
        <f t="shared" si="2"/>
        <v>1.23842592592599E-3</v>
      </c>
      <c r="E36" s="52">
        <f t="shared" si="6"/>
        <v>0.4593518518518524</v>
      </c>
      <c r="F36" s="47" t="s">
        <v>551</v>
      </c>
      <c r="G36" s="18" t="s">
        <v>269</v>
      </c>
      <c r="H36" s="18"/>
      <c r="I36" s="18" t="s">
        <v>254</v>
      </c>
      <c r="J36" s="18" t="s">
        <v>532</v>
      </c>
      <c r="K36" s="44" t="s">
        <v>552</v>
      </c>
      <c r="L36" s="105">
        <f t="shared" si="0"/>
        <v>0.45811342592592641</v>
      </c>
      <c r="M36" s="105">
        <f t="shared" si="3"/>
        <v>0.4593518518518524</v>
      </c>
      <c r="N36" s="38"/>
      <c r="O36" s="38" t="s">
        <v>256</v>
      </c>
      <c r="P36" s="38" t="s">
        <v>256</v>
      </c>
      <c r="Q36" s="38" t="s">
        <v>256</v>
      </c>
      <c r="R36" s="38"/>
      <c r="T36" s="4"/>
      <c r="U36" s="4"/>
    </row>
    <row r="37" spans="1:21" x14ac:dyDescent="0.2">
      <c r="A37" s="48" t="s">
        <v>279</v>
      </c>
      <c r="B37" s="52">
        <f t="shared" ref="B37" si="9">C37-$C$26</f>
        <v>2.18518518518524E-2</v>
      </c>
      <c r="C37" s="52">
        <f>'[1]Day 3-H'!$D$56</f>
        <v>0.4593518518518524</v>
      </c>
      <c r="D37" s="50">
        <f t="shared" si="2"/>
        <v>1.7013888888889328E-3</v>
      </c>
      <c r="E37" s="52">
        <f t="shared" si="6"/>
        <v>0.46105324074074133</v>
      </c>
      <c r="F37" s="47" t="s">
        <v>553</v>
      </c>
      <c r="G37" s="18" t="s">
        <v>269</v>
      </c>
      <c r="H37" s="18"/>
      <c r="I37" s="18" t="s">
        <v>254</v>
      </c>
      <c r="J37" s="18" t="s">
        <v>532</v>
      </c>
      <c r="K37" s="44" t="s">
        <v>554</v>
      </c>
      <c r="L37" s="105">
        <f t="shared" ref="L37" si="10">C37</f>
        <v>0.4593518518518524</v>
      </c>
      <c r="M37" s="105">
        <f t="shared" ref="M37" si="11">E37</f>
        <v>0.46105324074074133</v>
      </c>
      <c r="N37" s="38"/>
      <c r="O37" s="38" t="s">
        <v>256</v>
      </c>
      <c r="P37" s="38" t="s">
        <v>256</v>
      </c>
      <c r="Q37" s="38" t="s">
        <v>256</v>
      </c>
      <c r="R37" s="38"/>
      <c r="T37" s="4"/>
      <c r="U37" s="4"/>
    </row>
    <row r="38" spans="1:21" x14ac:dyDescent="0.2">
      <c r="A38" s="48" t="s">
        <v>279</v>
      </c>
      <c r="B38" s="52">
        <f t="shared" si="1"/>
        <v>2.3553240740741332E-2</v>
      </c>
      <c r="C38" s="52">
        <f>'[1]Day 3-H'!$D$60</f>
        <v>0.46105324074074133</v>
      </c>
      <c r="D38" s="50">
        <f t="shared" si="2"/>
        <v>1.8518518518518823E-3</v>
      </c>
      <c r="E38" s="52">
        <f t="shared" si="6"/>
        <v>0.46290509259259321</v>
      </c>
      <c r="F38" s="47" t="s">
        <v>555</v>
      </c>
      <c r="G38" s="18" t="s">
        <v>269</v>
      </c>
      <c r="H38" s="18"/>
      <c r="I38" s="18" t="s">
        <v>254</v>
      </c>
      <c r="J38" s="18" t="s">
        <v>532</v>
      </c>
      <c r="K38" s="44" t="s">
        <v>556</v>
      </c>
      <c r="L38" s="105">
        <f t="shared" si="0"/>
        <v>0.46105324074074133</v>
      </c>
      <c r="M38" s="105">
        <f t="shared" si="3"/>
        <v>0.46290509259259321</v>
      </c>
      <c r="N38" s="38"/>
      <c r="O38" s="38" t="s">
        <v>256</v>
      </c>
      <c r="P38" s="38" t="s">
        <v>256</v>
      </c>
      <c r="Q38" s="38" t="s">
        <v>256</v>
      </c>
      <c r="R38" s="38"/>
      <c r="T38" s="4"/>
      <c r="U38" s="4"/>
    </row>
    <row r="39" spans="1:21" x14ac:dyDescent="0.2">
      <c r="A39" s="48" t="s">
        <v>279</v>
      </c>
      <c r="B39" s="52">
        <f t="shared" si="1"/>
        <v>2.5405092592593215E-2</v>
      </c>
      <c r="C39" s="52">
        <f>'[1]Day 3-H'!$D$63</f>
        <v>0.46290509259259321</v>
      </c>
      <c r="D39" s="50">
        <f t="shared" si="2"/>
        <v>1.3310185185185786E-3</v>
      </c>
      <c r="E39" s="52">
        <f t="shared" si="6"/>
        <v>0.46423611111111179</v>
      </c>
      <c r="F39" s="47" t="s">
        <v>557</v>
      </c>
      <c r="G39" s="18" t="s">
        <v>269</v>
      </c>
      <c r="H39" s="18"/>
      <c r="I39" s="18" t="s">
        <v>254</v>
      </c>
      <c r="J39" s="18" t="s">
        <v>532</v>
      </c>
      <c r="K39" s="44" t="s">
        <v>558</v>
      </c>
      <c r="L39" s="105">
        <f t="shared" si="0"/>
        <v>0.46290509259259321</v>
      </c>
      <c r="M39" s="105">
        <f t="shared" si="3"/>
        <v>0.46423611111111179</v>
      </c>
      <c r="N39" s="38"/>
      <c r="O39" s="38" t="s">
        <v>256</v>
      </c>
      <c r="P39" s="38" t="s">
        <v>256</v>
      </c>
      <c r="Q39" s="38" t="s">
        <v>256</v>
      </c>
      <c r="R39" s="38"/>
      <c r="T39" s="4"/>
      <c r="U39" s="4"/>
    </row>
    <row r="40" spans="1:21" x14ac:dyDescent="0.2">
      <c r="A40" s="48" t="s">
        <v>279</v>
      </c>
      <c r="B40" s="52">
        <f t="shared" si="1"/>
        <v>2.6736111111111793E-2</v>
      </c>
      <c r="C40" s="52">
        <f>'[1]Day 3-H'!$D$66</f>
        <v>0.46423611111111179</v>
      </c>
      <c r="D40" s="50">
        <f t="shared" si="2"/>
        <v>1.2847222222222565E-3</v>
      </c>
      <c r="E40" s="52">
        <f t="shared" si="6"/>
        <v>0.46552083333333405</v>
      </c>
      <c r="F40" s="47" t="s">
        <v>559</v>
      </c>
      <c r="G40" s="18" t="s">
        <v>269</v>
      </c>
      <c r="H40" s="18"/>
      <c r="I40" s="18" t="s">
        <v>254</v>
      </c>
      <c r="J40" s="18" t="s">
        <v>532</v>
      </c>
      <c r="K40" s="44" t="s">
        <v>560</v>
      </c>
      <c r="L40" s="105">
        <f t="shared" si="0"/>
        <v>0.46423611111111179</v>
      </c>
      <c r="M40" s="105">
        <f t="shared" si="3"/>
        <v>0.46552083333333405</v>
      </c>
      <c r="N40" s="38"/>
      <c r="O40" s="38" t="s">
        <v>256</v>
      </c>
      <c r="P40" s="38" t="s">
        <v>256</v>
      </c>
      <c r="Q40" s="38" t="s">
        <v>256</v>
      </c>
      <c r="R40" s="38"/>
      <c r="T40" s="4"/>
      <c r="U40" s="4"/>
    </row>
    <row r="41" spans="1:21" x14ac:dyDescent="0.2">
      <c r="A41" s="48" t="s">
        <v>279</v>
      </c>
      <c r="B41" s="52">
        <f t="shared" si="1"/>
        <v>2.802083333333405E-2</v>
      </c>
      <c r="C41" s="52">
        <f>'[1]Day 3-H'!$D$69</f>
        <v>0.46552083333333405</v>
      </c>
      <c r="D41" s="50">
        <f t="shared" si="2"/>
        <v>1.2731481481482176E-3</v>
      </c>
      <c r="E41" s="52">
        <f t="shared" si="6"/>
        <v>0.46679398148148227</v>
      </c>
      <c r="F41" s="47" t="s">
        <v>561</v>
      </c>
      <c r="G41" s="18" t="s">
        <v>269</v>
      </c>
      <c r="H41" s="18"/>
      <c r="I41" s="18" t="s">
        <v>254</v>
      </c>
      <c r="J41" s="18" t="s">
        <v>532</v>
      </c>
      <c r="K41" s="44" t="s">
        <v>562</v>
      </c>
      <c r="L41" s="105">
        <f t="shared" si="0"/>
        <v>0.46552083333333405</v>
      </c>
      <c r="M41" s="105">
        <f t="shared" si="3"/>
        <v>0.46679398148148227</v>
      </c>
      <c r="N41" s="38"/>
      <c r="O41" s="38" t="s">
        <v>256</v>
      </c>
      <c r="P41" s="38" t="s">
        <v>256</v>
      </c>
      <c r="Q41" s="38" t="s">
        <v>256</v>
      </c>
      <c r="R41" s="38"/>
      <c r="T41" s="4"/>
      <c r="U41" s="4"/>
    </row>
    <row r="42" spans="1:21" x14ac:dyDescent="0.2">
      <c r="A42" s="48" t="s">
        <v>279</v>
      </c>
      <c r="B42" s="52">
        <f t="shared" si="1"/>
        <v>2.9293981481482267E-2</v>
      </c>
      <c r="C42" s="52">
        <f>'[1]Day 3-H'!$D$72</f>
        <v>0.46679398148148227</v>
      </c>
      <c r="D42" s="50">
        <f t="shared" si="2"/>
        <v>1.2615740740741233E-3</v>
      </c>
      <c r="E42" s="52">
        <f t="shared" si="6"/>
        <v>0.46805555555555639</v>
      </c>
      <c r="F42" s="47" t="s">
        <v>563</v>
      </c>
      <c r="G42" s="18" t="s">
        <v>269</v>
      </c>
      <c r="H42" s="18"/>
      <c r="I42" s="18" t="s">
        <v>254</v>
      </c>
      <c r="J42" s="18" t="s">
        <v>532</v>
      </c>
      <c r="K42" s="44" t="s">
        <v>564</v>
      </c>
      <c r="L42" s="105">
        <f t="shared" si="0"/>
        <v>0.46679398148148227</v>
      </c>
      <c r="M42" s="105">
        <f t="shared" si="3"/>
        <v>0.46805555555555639</v>
      </c>
      <c r="N42" s="38"/>
      <c r="O42" s="38" t="s">
        <v>256</v>
      </c>
      <c r="P42" s="38" t="s">
        <v>256</v>
      </c>
      <c r="Q42" s="38" t="s">
        <v>256</v>
      </c>
      <c r="R42" s="38"/>
      <c r="T42" s="4"/>
      <c r="U42" s="4"/>
    </row>
    <row r="43" spans="1:21" x14ac:dyDescent="0.2">
      <c r="A43" s="48" t="s">
        <v>279</v>
      </c>
      <c r="B43" s="52">
        <f t="shared" si="1"/>
        <v>3.0555555555556391E-2</v>
      </c>
      <c r="C43" s="52">
        <f>'[1]Day 3-H'!$D$75</f>
        <v>0.46805555555555639</v>
      </c>
      <c r="D43" s="50">
        <f t="shared" si="2"/>
        <v>1.2615740740741233E-3</v>
      </c>
      <c r="E43" s="52">
        <f t="shared" si="6"/>
        <v>0.46931712962963051</v>
      </c>
      <c r="F43" s="47" t="s">
        <v>565</v>
      </c>
      <c r="G43" s="18" t="s">
        <v>269</v>
      </c>
      <c r="H43" s="18"/>
      <c r="I43" s="18" t="s">
        <v>254</v>
      </c>
      <c r="J43" s="18" t="s">
        <v>532</v>
      </c>
      <c r="K43" s="44" t="s">
        <v>566</v>
      </c>
      <c r="L43" s="105">
        <f t="shared" si="0"/>
        <v>0.46805555555555639</v>
      </c>
      <c r="M43" s="105">
        <f t="shared" si="3"/>
        <v>0.46931712962963051</v>
      </c>
      <c r="N43" s="38"/>
      <c r="O43" s="38" t="s">
        <v>256</v>
      </c>
      <c r="P43" s="38" t="s">
        <v>256</v>
      </c>
      <c r="Q43" s="38" t="s">
        <v>256</v>
      </c>
      <c r="R43" s="38"/>
      <c r="T43" s="4"/>
      <c r="U43" s="4"/>
    </row>
    <row r="44" spans="1:21" x14ac:dyDescent="0.2">
      <c r="A44" s="48" t="s">
        <v>279</v>
      </c>
      <c r="B44" s="52">
        <f t="shared" ref="B44" si="12">C44-$C$26</f>
        <v>3.1817129629630514E-2</v>
      </c>
      <c r="C44" s="52">
        <f>'[1]Day 3-H'!$D$81</f>
        <v>0.46931712962963051</v>
      </c>
      <c r="D44" s="50">
        <f t="shared" ref="D44" si="13">E44-C44</f>
        <v>1.7245370370370661E-3</v>
      </c>
      <c r="E44" s="52">
        <f t="shared" si="6"/>
        <v>0.47104166666666758</v>
      </c>
      <c r="F44" s="47" t="s">
        <v>567</v>
      </c>
      <c r="G44" s="18" t="s">
        <v>269</v>
      </c>
      <c r="H44" s="18"/>
      <c r="I44" s="18" t="s">
        <v>254</v>
      </c>
      <c r="J44" s="18" t="s">
        <v>532</v>
      </c>
      <c r="K44" s="44" t="s">
        <v>568</v>
      </c>
      <c r="L44" s="105">
        <f t="shared" ref="L44" si="14">C44</f>
        <v>0.46931712962963051</v>
      </c>
      <c r="M44" s="105">
        <f t="shared" ref="M44" si="15">E44</f>
        <v>0.47104166666666758</v>
      </c>
      <c r="N44" s="38"/>
      <c r="O44" s="38" t="s">
        <v>256</v>
      </c>
      <c r="P44" s="38" t="s">
        <v>256</v>
      </c>
      <c r="Q44" s="38" t="s">
        <v>256</v>
      </c>
      <c r="R44" s="38"/>
      <c r="T44" s="4"/>
      <c r="U44" s="4"/>
    </row>
    <row r="45" spans="1:21" x14ac:dyDescent="0.2">
      <c r="A45" s="48" t="s">
        <v>279</v>
      </c>
      <c r="B45" s="52">
        <f t="shared" si="1"/>
        <v>3.354166666666758E-2</v>
      </c>
      <c r="C45" s="52">
        <f>'[1]Day 3-H'!$D$85</f>
        <v>0.47104166666666758</v>
      </c>
      <c r="D45" s="50">
        <f t="shared" si="2"/>
        <v>2.2800925925925974E-3</v>
      </c>
      <c r="E45" s="52">
        <f t="shared" si="6"/>
        <v>0.47332175925926018</v>
      </c>
      <c r="F45" s="47" t="s">
        <v>569</v>
      </c>
      <c r="G45" s="18" t="s">
        <v>269</v>
      </c>
      <c r="H45" s="18"/>
      <c r="I45" s="18" t="s">
        <v>254</v>
      </c>
      <c r="J45" s="18" t="s">
        <v>532</v>
      </c>
      <c r="K45" s="44" t="s">
        <v>570</v>
      </c>
      <c r="L45" s="105">
        <f t="shared" si="0"/>
        <v>0.47104166666666758</v>
      </c>
      <c r="M45" s="105">
        <f t="shared" si="3"/>
        <v>0.47332175925926018</v>
      </c>
      <c r="N45" s="38"/>
      <c r="O45" s="38" t="s">
        <v>256</v>
      </c>
      <c r="P45" s="38" t="s">
        <v>256</v>
      </c>
      <c r="Q45" s="38" t="s">
        <v>256</v>
      </c>
      <c r="R45" s="38"/>
      <c r="T45" s="4"/>
      <c r="U45" s="4"/>
    </row>
    <row r="46" spans="1:21" x14ac:dyDescent="0.2">
      <c r="A46" s="48" t="s">
        <v>279</v>
      </c>
      <c r="B46" s="52">
        <f t="shared" si="1"/>
        <v>3.5821759259260177E-2</v>
      </c>
      <c r="C46" s="52">
        <f>'[1]Day 3-H'!$D$88</f>
        <v>0.47332175925926018</v>
      </c>
      <c r="D46" s="50">
        <f t="shared" si="2"/>
        <v>1.585648148148211E-3</v>
      </c>
      <c r="E46" s="52">
        <f t="shared" si="6"/>
        <v>0.47490740740740839</v>
      </c>
      <c r="F46" s="47" t="s">
        <v>571</v>
      </c>
      <c r="G46" s="18" t="s">
        <v>269</v>
      </c>
      <c r="H46" s="18"/>
      <c r="I46" s="18" t="s">
        <v>254</v>
      </c>
      <c r="J46" s="18" t="s">
        <v>532</v>
      </c>
      <c r="K46" s="44" t="s">
        <v>572</v>
      </c>
      <c r="L46" s="105">
        <f t="shared" si="0"/>
        <v>0.47332175925926018</v>
      </c>
      <c r="M46" s="105">
        <f t="shared" si="3"/>
        <v>0.47490740740740839</v>
      </c>
      <c r="N46" s="38"/>
      <c r="O46" s="38" t="s">
        <v>256</v>
      </c>
      <c r="P46" s="38" t="s">
        <v>256</v>
      </c>
      <c r="Q46" s="38" t="s">
        <v>256</v>
      </c>
      <c r="R46" s="38"/>
      <c r="T46" s="4"/>
      <c r="U46" s="4"/>
    </row>
    <row r="47" spans="1:21" x14ac:dyDescent="0.2">
      <c r="A47" s="48" t="s">
        <v>279</v>
      </c>
      <c r="B47" s="52">
        <f t="shared" si="1"/>
        <v>3.7407407407408388E-2</v>
      </c>
      <c r="C47" s="52">
        <f>'[1]Day 3-H'!$D$91</f>
        <v>0.47490740740740839</v>
      </c>
      <c r="D47" s="50">
        <f>E47-C47</f>
        <v>1.5625000000000777E-3</v>
      </c>
      <c r="E47" s="52">
        <f t="shared" si="6"/>
        <v>0.47646990740740847</v>
      </c>
      <c r="F47" s="47" t="s">
        <v>573</v>
      </c>
      <c r="G47" s="18" t="s">
        <v>269</v>
      </c>
      <c r="H47" s="18"/>
      <c r="I47" s="18" t="s">
        <v>254</v>
      </c>
      <c r="J47" s="18" t="s">
        <v>532</v>
      </c>
      <c r="K47" s="44" t="s">
        <v>574</v>
      </c>
      <c r="L47" s="105">
        <f t="shared" si="0"/>
        <v>0.47490740740740839</v>
      </c>
      <c r="M47" s="105">
        <f t="shared" si="3"/>
        <v>0.47646990740740847</v>
      </c>
      <c r="N47" s="38"/>
      <c r="O47" s="38" t="s">
        <v>256</v>
      </c>
      <c r="P47" s="38" t="s">
        <v>256</v>
      </c>
      <c r="Q47" s="38" t="s">
        <v>256</v>
      </c>
      <c r="R47" s="38"/>
      <c r="T47" s="4"/>
      <c r="U47" s="4"/>
    </row>
    <row r="48" spans="1:21" x14ac:dyDescent="0.2">
      <c r="A48" s="48" t="s">
        <v>279</v>
      </c>
      <c r="B48" s="52">
        <f t="shared" si="1"/>
        <v>3.8969907407408466E-2</v>
      </c>
      <c r="C48" s="52">
        <f>'[1]Day 3-H'!$D$94</f>
        <v>0.47646990740740847</v>
      </c>
      <c r="D48" s="50">
        <f t="shared" ref="D48:D54" si="16">E48-C48</f>
        <v>1.5509259259259833E-3</v>
      </c>
      <c r="E48" s="52">
        <f t="shared" si="6"/>
        <v>0.47802083333333445</v>
      </c>
      <c r="F48" s="47" t="s">
        <v>575</v>
      </c>
      <c r="G48" s="18" t="s">
        <v>269</v>
      </c>
      <c r="H48" s="18"/>
      <c r="I48" s="18" t="s">
        <v>254</v>
      </c>
      <c r="J48" s="18" t="s">
        <v>532</v>
      </c>
      <c r="K48" s="44" t="s">
        <v>576</v>
      </c>
      <c r="L48" s="105">
        <f t="shared" si="0"/>
        <v>0.47646990740740847</v>
      </c>
      <c r="M48" s="105">
        <f t="shared" si="3"/>
        <v>0.47802083333333445</v>
      </c>
      <c r="N48" s="38"/>
      <c r="O48" s="38" t="s">
        <v>256</v>
      </c>
      <c r="P48" s="38" t="s">
        <v>256</v>
      </c>
      <c r="Q48" s="38" t="s">
        <v>256</v>
      </c>
      <c r="R48" s="38"/>
      <c r="T48" s="4"/>
      <c r="U48" s="4"/>
    </row>
    <row r="49" spans="1:21" x14ac:dyDescent="0.2">
      <c r="A49" s="48" t="s">
        <v>279</v>
      </c>
      <c r="B49" s="52">
        <f t="shared" si="1"/>
        <v>4.0520833333334449E-2</v>
      </c>
      <c r="C49" s="52">
        <f>'[1]Day 3-H'!$D$97</f>
        <v>0.47802083333333445</v>
      </c>
      <c r="D49" s="50">
        <f t="shared" si="16"/>
        <v>1.5509259259259833E-3</v>
      </c>
      <c r="E49" s="52">
        <f t="shared" si="6"/>
        <v>0.47957175925926043</v>
      </c>
      <c r="F49" s="47" t="s">
        <v>577</v>
      </c>
      <c r="G49" s="18" t="s">
        <v>269</v>
      </c>
      <c r="H49" s="18"/>
      <c r="I49" s="18" t="s">
        <v>254</v>
      </c>
      <c r="J49" s="18" t="s">
        <v>532</v>
      </c>
      <c r="K49" s="44" t="s">
        <v>578</v>
      </c>
      <c r="L49" s="105">
        <f t="shared" si="0"/>
        <v>0.47802083333333445</v>
      </c>
      <c r="M49" s="105">
        <f t="shared" si="3"/>
        <v>0.47957175925926043</v>
      </c>
      <c r="N49" s="38"/>
      <c r="O49" s="38" t="s">
        <v>256</v>
      </c>
      <c r="P49" s="38" t="s">
        <v>256</v>
      </c>
      <c r="Q49" s="38" t="s">
        <v>256</v>
      </c>
      <c r="R49" s="38"/>
      <c r="T49" s="4"/>
      <c r="U49" s="4"/>
    </row>
    <row r="50" spans="1:21" x14ac:dyDescent="0.2">
      <c r="A50" s="48" t="s">
        <v>279</v>
      </c>
      <c r="B50" s="52">
        <f t="shared" si="1"/>
        <v>4.2071759259260433E-2</v>
      </c>
      <c r="C50" s="52">
        <f>'[1]Day 3-H'!$D$100</f>
        <v>0.47957175925926043</v>
      </c>
      <c r="D50" s="50">
        <f t="shared" si="16"/>
        <v>1.5277777777778501E-3</v>
      </c>
      <c r="E50" s="52">
        <f t="shared" si="6"/>
        <v>0.48109953703703828</v>
      </c>
      <c r="F50" s="47" t="s">
        <v>579</v>
      </c>
      <c r="G50" s="18" t="s">
        <v>269</v>
      </c>
      <c r="H50" s="18"/>
      <c r="I50" s="18" t="s">
        <v>254</v>
      </c>
      <c r="J50" s="18" t="s">
        <v>532</v>
      </c>
      <c r="K50" s="44" t="s">
        <v>580</v>
      </c>
      <c r="L50" s="105">
        <f t="shared" si="0"/>
        <v>0.47957175925926043</v>
      </c>
      <c r="M50" s="105">
        <f t="shared" si="3"/>
        <v>0.48109953703703828</v>
      </c>
      <c r="N50" s="38"/>
      <c r="O50" s="38" t="s">
        <v>256</v>
      </c>
      <c r="P50" s="38" t="s">
        <v>256</v>
      </c>
      <c r="Q50" s="38" t="s">
        <v>256</v>
      </c>
      <c r="R50" s="38"/>
      <c r="T50" s="4"/>
      <c r="U50" s="4"/>
    </row>
    <row r="51" spans="1:21" x14ac:dyDescent="0.2">
      <c r="A51" s="48" t="s">
        <v>279</v>
      </c>
      <c r="B51" s="52">
        <f t="shared" si="1"/>
        <v>4.3599537037038283E-2</v>
      </c>
      <c r="C51" s="52">
        <f>'[1]Day 3-H'!$D$103</f>
        <v>0.48109953703703828</v>
      </c>
      <c r="D51" s="50">
        <f t="shared" si="16"/>
        <v>1.5162037037037557E-3</v>
      </c>
      <c r="E51" s="52">
        <f t="shared" si="6"/>
        <v>0.48261574074074204</v>
      </c>
      <c r="F51" s="47" t="s">
        <v>581</v>
      </c>
      <c r="G51" s="18" t="s">
        <v>269</v>
      </c>
      <c r="H51" s="18"/>
      <c r="I51" s="18" t="s">
        <v>254</v>
      </c>
      <c r="J51" s="18" t="s">
        <v>532</v>
      </c>
      <c r="K51" s="44" t="s">
        <v>582</v>
      </c>
      <c r="L51" s="105">
        <f t="shared" si="0"/>
        <v>0.48109953703703828</v>
      </c>
      <c r="M51" s="105">
        <f t="shared" si="3"/>
        <v>0.48261574074074204</v>
      </c>
      <c r="N51" s="38"/>
      <c r="O51" s="38" t="s">
        <v>256</v>
      </c>
      <c r="P51" s="38" t="s">
        <v>256</v>
      </c>
      <c r="Q51" s="38" t="s">
        <v>256</v>
      </c>
      <c r="R51" s="38"/>
      <c r="T51" s="4"/>
      <c r="U51" s="4"/>
    </row>
    <row r="52" spans="1:21" x14ac:dyDescent="0.2">
      <c r="A52" s="48" t="s">
        <v>279</v>
      </c>
      <c r="B52" s="52">
        <f t="shared" si="1"/>
        <v>4.5115740740742039E-2</v>
      </c>
      <c r="C52" s="52">
        <f>'[1]Day 3-H'!$D$106</f>
        <v>0.48261574074074204</v>
      </c>
      <c r="D52" s="50">
        <f t="shared" si="16"/>
        <v>1.5162037037037557E-3</v>
      </c>
      <c r="E52" s="52">
        <f t="shared" si="6"/>
        <v>0.48413194444444579</v>
      </c>
      <c r="F52" s="47" t="s">
        <v>583</v>
      </c>
      <c r="G52" s="18" t="s">
        <v>269</v>
      </c>
      <c r="H52" s="18"/>
      <c r="I52" s="18" t="s">
        <v>254</v>
      </c>
      <c r="J52" s="18" t="s">
        <v>532</v>
      </c>
      <c r="K52" s="44" t="s">
        <v>584</v>
      </c>
      <c r="L52" s="105">
        <f t="shared" si="0"/>
        <v>0.48261574074074204</v>
      </c>
      <c r="M52" s="105">
        <f t="shared" si="3"/>
        <v>0.48413194444444579</v>
      </c>
      <c r="N52" s="38"/>
      <c r="O52" s="38" t="s">
        <v>256</v>
      </c>
      <c r="P52" s="38" t="s">
        <v>256</v>
      </c>
      <c r="Q52" s="38" t="s">
        <v>256</v>
      </c>
      <c r="R52" s="38"/>
      <c r="T52" s="4"/>
      <c r="U52" s="4"/>
    </row>
    <row r="53" spans="1:21" x14ac:dyDescent="0.2">
      <c r="A53" s="48" t="s">
        <v>279</v>
      </c>
      <c r="B53" s="52">
        <f t="shared" ref="B53" si="17">C53-$C$26</f>
        <v>4.6631944444445794E-2</v>
      </c>
      <c r="C53" s="52">
        <f>'[1]Day 3-H'!$D$112</f>
        <v>0.48413194444444579</v>
      </c>
      <c r="D53" s="50">
        <f t="shared" si="16"/>
        <v>1.9791666666666985E-3</v>
      </c>
      <c r="E53" s="52">
        <f>C54</f>
        <v>0.48611111111111249</v>
      </c>
      <c r="F53" s="47" t="s">
        <v>585</v>
      </c>
      <c r="G53" s="18" t="s">
        <v>269</v>
      </c>
      <c r="H53" s="18"/>
      <c r="I53" s="18" t="s">
        <v>254</v>
      </c>
      <c r="J53" s="18" t="s">
        <v>532</v>
      </c>
      <c r="K53" s="44" t="s">
        <v>586</v>
      </c>
      <c r="L53" s="105">
        <f t="shared" ref="L53" si="18">C53</f>
        <v>0.48413194444444579</v>
      </c>
      <c r="M53" s="105">
        <f t="shared" ref="M53" si="19">E53</f>
        <v>0.48611111111111249</v>
      </c>
      <c r="N53" s="38"/>
      <c r="O53" s="38" t="s">
        <v>256</v>
      </c>
      <c r="P53" s="38" t="s">
        <v>256</v>
      </c>
      <c r="Q53" s="38" t="s">
        <v>256</v>
      </c>
      <c r="R53" s="38"/>
      <c r="T53" s="4"/>
      <c r="U53" s="4"/>
    </row>
    <row r="54" spans="1:21" s="5" customFormat="1" x14ac:dyDescent="0.2">
      <c r="A54" s="48" t="s">
        <v>279</v>
      </c>
      <c r="B54" s="52">
        <f t="shared" si="1"/>
        <v>4.8611111111112493E-2</v>
      </c>
      <c r="C54" s="52">
        <f>'[1]Day 3-H'!$D$123</f>
        <v>0.48611111111111249</v>
      </c>
      <c r="D54" s="50">
        <f t="shared" si="16"/>
        <v>1.041666666666663E-3</v>
      </c>
      <c r="E54" s="52">
        <f t="shared" si="6"/>
        <v>0.48715277777777916</v>
      </c>
      <c r="F54" s="18" t="s">
        <v>357</v>
      </c>
      <c r="G54" s="18" t="s">
        <v>269</v>
      </c>
      <c r="H54" s="18"/>
      <c r="I54" s="18" t="s">
        <v>254</v>
      </c>
      <c r="J54" s="18" t="s">
        <v>532</v>
      </c>
      <c r="K54" s="37"/>
      <c r="L54" s="105">
        <f t="shared" si="0"/>
        <v>0.48611111111111249</v>
      </c>
      <c r="M54" s="105"/>
      <c r="N54" s="38"/>
      <c r="O54" s="38" t="s">
        <v>256</v>
      </c>
      <c r="P54" s="38" t="s">
        <v>256</v>
      </c>
      <c r="Q54" s="38" t="s">
        <v>256</v>
      </c>
      <c r="R54" s="38"/>
      <c r="S54"/>
      <c r="T54" s="4"/>
      <c r="U54" s="4"/>
    </row>
    <row r="55" spans="1:21" x14ac:dyDescent="0.2">
      <c r="A55" s="93" t="s">
        <v>279</v>
      </c>
      <c r="B55" s="94"/>
      <c r="C55" s="94">
        <f>'[1]Day 3-H'!$D$124</f>
        <v>0.48715277777777916</v>
      </c>
      <c r="D55" s="93"/>
      <c r="E55" s="94"/>
      <c r="F55" s="20" t="s">
        <v>358</v>
      </c>
      <c r="G55" s="18"/>
      <c r="H55" s="18"/>
      <c r="I55" s="18" t="s">
        <v>254</v>
      </c>
      <c r="J55" s="18" t="s">
        <v>532</v>
      </c>
      <c r="K55" s="37"/>
      <c r="L55" s="105">
        <f t="shared" si="0"/>
        <v>0.48715277777777916</v>
      </c>
      <c r="M55" s="105"/>
      <c r="N55" s="38"/>
      <c r="O55" s="38" t="s">
        <v>256</v>
      </c>
      <c r="P55" s="38" t="s">
        <v>256</v>
      </c>
      <c r="Q55" s="38" t="s">
        <v>256</v>
      </c>
      <c r="R55" s="38" t="s">
        <v>256</v>
      </c>
      <c r="T55" s="4"/>
      <c r="U55" s="4"/>
    </row>
    <row r="56" spans="1:21" s="74" customFormat="1" x14ac:dyDescent="0.2">
      <c r="A56" s="80" t="s">
        <v>279</v>
      </c>
      <c r="B56" s="64"/>
      <c r="C56" s="64">
        <v>0.48958333333333331</v>
      </c>
      <c r="D56" s="80"/>
      <c r="E56" s="64"/>
      <c r="F56" s="33" t="s">
        <v>62</v>
      </c>
      <c r="G56" s="81"/>
      <c r="H56" s="81"/>
      <c r="I56" s="81" t="s">
        <v>254</v>
      </c>
      <c r="J56" s="81" t="s">
        <v>532</v>
      </c>
      <c r="K56" s="81"/>
      <c r="L56" s="109">
        <f t="shared" si="0"/>
        <v>0.48958333333333331</v>
      </c>
      <c r="M56" s="109"/>
      <c r="N56" s="80"/>
      <c r="O56" s="80" t="s">
        <v>256</v>
      </c>
      <c r="P56" s="80" t="s">
        <v>256</v>
      </c>
      <c r="Q56" s="80" t="s">
        <v>256</v>
      </c>
      <c r="R56" s="80" t="s">
        <v>256</v>
      </c>
      <c r="S56" s="1"/>
      <c r="T56" s="73"/>
      <c r="U56" s="73"/>
    </row>
    <row r="57" spans="1:21" s="5" customFormat="1" x14ac:dyDescent="0.2">
      <c r="A57" s="48" t="s">
        <v>279</v>
      </c>
      <c r="B57" s="52">
        <f t="shared" ref="B57:B61" si="20">C57-$C$26</f>
        <v>5.2083333333333315E-2</v>
      </c>
      <c r="C57" s="52">
        <f>C56</f>
        <v>0.48958333333333331</v>
      </c>
      <c r="D57" s="50">
        <f t="shared" si="2"/>
        <v>4.1666666666666685E-2</v>
      </c>
      <c r="E57" s="52">
        <f>$C$57+TIME(1,0,0)</f>
        <v>0.53125</v>
      </c>
      <c r="F57" s="47" t="s">
        <v>359</v>
      </c>
      <c r="G57" s="18" t="s">
        <v>264</v>
      </c>
      <c r="H57" s="18" t="s">
        <v>529</v>
      </c>
      <c r="I57" s="18" t="s">
        <v>254</v>
      </c>
      <c r="J57" s="37"/>
      <c r="K57" s="37"/>
      <c r="L57" s="37"/>
      <c r="M57" s="37"/>
      <c r="N57" s="38"/>
      <c r="O57" s="38"/>
      <c r="P57" s="38"/>
      <c r="Q57" s="38"/>
      <c r="R57" s="38" t="s">
        <v>256</v>
      </c>
      <c r="S57"/>
      <c r="T57" s="4"/>
      <c r="U57" s="4"/>
    </row>
    <row r="58" spans="1:21" s="5" customFormat="1" x14ac:dyDescent="0.2">
      <c r="A58" s="48" t="s">
        <v>279</v>
      </c>
      <c r="B58" s="52">
        <f t="shared" ref="B58" si="21">C58-$C$26</f>
        <v>7.5000000000000067E-2</v>
      </c>
      <c r="C58" s="52">
        <v>0.51250000000000007</v>
      </c>
      <c r="D58" s="48"/>
      <c r="E58" s="52"/>
      <c r="F58" s="47" t="s">
        <v>65</v>
      </c>
      <c r="G58" s="18"/>
      <c r="H58" s="18"/>
      <c r="I58" s="18" t="s">
        <v>254</v>
      </c>
      <c r="J58" s="37"/>
      <c r="K58" s="37"/>
      <c r="L58" s="37"/>
      <c r="M58" s="37"/>
      <c r="N58" s="38"/>
      <c r="O58" s="38"/>
      <c r="P58" s="38"/>
      <c r="Q58" s="38"/>
      <c r="R58" s="38"/>
      <c r="S58"/>
      <c r="T58" s="4"/>
      <c r="U58" s="4"/>
    </row>
    <row r="59" spans="1:21" s="5" customFormat="1" x14ac:dyDescent="0.2">
      <c r="A59" s="48" t="s">
        <v>279</v>
      </c>
      <c r="B59" s="52">
        <f>C59-$C$26</f>
        <v>7.291666666666663E-2</v>
      </c>
      <c r="C59" s="52">
        <f>$C$56+TIME(0,30,0)</f>
        <v>0.51041666666666663</v>
      </c>
      <c r="D59" s="48"/>
      <c r="E59" s="52"/>
      <c r="F59" s="47" t="s">
        <v>361</v>
      </c>
      <c r="G59" s="18" t="s">
        <v>271</v>
      </c>
      <c r="H59" s="18" t="s">
        <v>530</v>
      </c>
      <c r="I59" s="18" t="s">
        <v>254</v>
      </c>
      <c r="J59" s="37"/>
      <c r="K59" s="37"/>
      <c r="L59" s="37"/>
      <c r="M59" s="37"/>
      <c r="N59" s="38"/>
      <c r="O59" s="38"/>
      <c r="P59" s="38"/>
      <c r="Q59" s="38"/>
      <c r="R59" s="38" t="s">
        <v>256</v>
      </c>
      <c r="S59"/>
      <c r="T59" s="4"/>
      <c r="U59" s="4"/>
    </row>
    <row r="60" spans="1:21" s="5" customFormat="1" x14ac:dyDescent="0.2">
      <c r="A60" s="48" t="s">
        <v>279</v>
      </c>
      <c r="B60" s="52">
        <f t="shared" si="20"/>
        <v>8.3333333333333259E-2</v>
      </c>
      <c r="C60" s="52">
        <f>$C$56+TIME(0,45,0)</f>
        <v>0.52083333333333326</v>
      </c>
      <c r="D60" s="48"/>
      <c r="E60" s="52"/>
      <c r="F60" s="18" t="s">
        <v>362</v>
      </c>
      <c r="G60" s="18" t="s">
        <v>271</v>
      </c>
      <c r="H60" s="18" t="s">
        <v>530</v>
      </c>
      <c r="I60" s="18" t="s">
        <v>254</v>
      </c>
      <c r="J60" s="37"/>
      <c r="K60" s="37"/>
      <c r="L60" s="37"/>
      <c r="M60" s="37"/>
      <c r="N60" s="38"/>
      <c r="O60" s="38"/>
      <c r="P60" s="38"/>
      <c r="Q60" s="38"/>
      <c r="R60" s="38" t="s">
        <v>256</v>
      </c>
      <c r="S60"/>
      <c r="T60" s="4"/>
      <c r="U60" s="4"/>
    </row>
    <row r="61" spans="1:21" s="5" customFormat="1" x14ac:dyDescent="0.2">
      <c r="A61" s="48"/>
      <c r="B61" s="52">
        <f t="shared" si="20"/>
        <v>9.375E-2</v>
      </c>
      <c r="C61" s="52">
        <f>$C$57+TIME(1,0,0)</f>
        <v>0.53125</v>
      </c>
      <c r="D61" s="48"/>
      <c r="E61" s="52"/>
      <c r="F61" s="47" t="s">
        <v>363</v>
      </c>
      <c r="G61" s="18"/>
      <c r="H61" s="18"/>
      <c r="I61" s="18"/>
      <c r="J61" s="37"/>
      <c r="K61" s="37"/>
      <c r="L61" s="37"/>
      <c r="M61" s="37"/>
      <c r="N61" s="38"/>
      <c r="O61" s="38"/>
      <c r="P61" s="38"/>
      <c r="Q61" s="38"/>
      <c r="R61" s="38" t="s">
        <v>256</v>
      </c>
      <c r="S61"/>
      <c r="T61" s="4"/>
      <c r="U61" s="4"/>
    </row>
    <row r="62" spans="1:21" s="5" customFormat="1" x14ac:dyDescent="0.2">
      <c r="A62" s="48" t="s">
        <v>279</v>
      </c>
      <c r="B62" s="52">
        <f>C62-$C$26</f>
        <v>0.125</v>
      </c>
      <c r="C62" s="52">
        <v>0.5625</v>
      </c>
      <c r="D62" s="50">
        <f>E62-C62</f>
        <v>0.1875</v>
      </c>
      <c r="E62" s="52">
        <v>0.75</v>
      </c>
      <c r="F62" s="63" t="s">
        <v>360</v>
      </c>
      <c r="G62" s="18" t="s">
        <v>266</v>
      </c>
      <c r="H62" s="18"/>
      <c r="I62" s="18" t="s">
        <v>254</v>
      </c>
      <c r="J62" s="37"/>
      <c r="K62" s="37"/>
      <c r="L62" s="37"/>
      <c r="M62" s="37"/>
      <c r="N62" s="38"/>
      <c r="O62" s="38"/>
      <c r="P62" s="38"/>
      <c r="Q62" s="38"/>
      <c r="R62" s="38" t="s">
        <v>256</v>
      </c>
      <c r="S62"/>
      <c r="T62" s="4"/>
      <c r="U62" s="4"/>
    </row>
    <row r="63" spans="1:21" s="5" customFormat="1" x14ac:dyDescent="0.2">
      <c r="A63" s="58"/>
      <c r="B63" s="59"/>
      <c r="C63" s="59"/>
      <c r="D63" s="58"/>
      <c r="E63" s="59"/>
      <c r="F63" s="60"/>
      <c r="G63" s="60"/>
      <c r="H63" s="60"/>
      <c r="I63" s="60"/>
      <c r="J63" s="60"/>
      <c r="K63" s="60"/>
      <c r="L63" s="60"/>
      <c r="M63" s="60"/>
      <c r="N63" s="58"/>
      <c r="O63" s="58"/>
      <c r="P63" s="58"/>
      <c r="Q63" s="58"/>
      <c r="R63" s="58"/>
      <c r="S63"/>
      <c r="T63" s="4"/>
      <c r="U63" s="4"/>
    </row>
    <row r="64" spans="1:21" s="5" customFormat="1" ht="14.25" customHeight="1" x14ac:dyDescent="0.2">
      <c r="A64" s="48" t="s">
        <v>252</v>
      </c>
      <c r="B64" s="52">
        <f>$C$77-C64</f>
        <v>0.15069444444444458</v>
      </c>
      <c r="C64" s="52">
        <f>$C$74-TIME(3,30,0)</f>
        <v>0.64583333333333326</v>
      </c>
      <c r="D64" s="48"/>
      <c r="E64" s="52"/>
      <c r="F64" s="39" t="s">
        <v>257</v>
      </c>
      <c r="G64" s="18"/>
      <c r="H64" s="18"/>
      <c r="I64" s="18" t="s">
        <v>254</v>
      </c>
      <c r="J64" s="37"/>
      <c r="K64" s="37"/>
      <c r="L64" s="37"/>
      <c r="M64" s="37"/>
      <c r="N64" s="38"/>
      <c r="O64" s="38"/>
      <c r="P64" s="38"/>
      <c r="Q64" s="38"/>
      <c r="R64" s="38"/>
      <c r="S64"/>
      <c r="T64" s="4"/>
      <c r="U64" s="4"/>
    </row>
    <row r="65" spans="1:21" s="5" customFormat="1" x14ac:dyDescent="0.2">
      <c r="A65" s="48" t="s">
        <v>252</v>
      </c>
      <c r="B65" s="52">
        <f>$C$77-C65</f>
        <v>0.10902777777777783</v>
      </c>
      <c r="C65" s="52">
        <f>$C$74-TIME(2,30,0)</f>
        <v>0.6875</v>
      </c>
      <c r="D65" s="50">
        <f t="shared" ref="D65" si="22">E65-C65</f>
        <v>9.375E-2</v>
      </c>
      <c r="E65" s="52">
        <f>$C$74-TIME(0,15,0)</f>
        <v>0.78125</v>
      </c>
      <c r="F65" s="18" t="s">
        <v>365</v>
      </c>
      <c r="G65" s="18" t="s">
        <v>269</v>
      </c>
      <c r="H65" s="18"/>
      <c r="I65" s="18" t="s">
        <v>254</v>
      </c>
      <c r="J65" s="37"/>
      <c r="K65" s="37"/>
      <c r="L65" s="37"/>
      <c r="M65" s="37"/>
      <c r="N65" s="38"/>
      <c r="O65" s="38"/>
      <c r="P65" s="38"/>
      <c r="Q65" s="38"/>
      <c r="R65" s="38" t="s">
        <v>256</v>
      </c>
      <c r="S65"/>
      <c r="T65" s="4"/>
      <c r="U65" s="4"/>
    </row>
    <row r="66" spans="1:21" s="5" customFormat="1" x14ac:dyDescent="0.2">
      <c r="A66" s="48" t="s">
        <v>252</v>
      </c>
      <c r="B66" s="52">
        <f>$C$77-C66</f>
        <v>8.8194444444444575E-2</v>
      </c>
      <c r="C66" s="52">
        <f>$C$74-TIME(2,0,0)</f>
        <v>0.70833333333333326</v>
      </c>
      <c r="D66" s="48"/>
      <c r="E66" s="52"/>
      <c r="F66" s="18" t="s">
        <v>473</v>
      </c>
      <c r="G66" s="18" t="s">
        <v>271</v>
      </c>
      <c r="H66" s="18" t="s">
        <v>530</v>
      </c>
      <c r="I66" s="18" t="s">
        <v>254</v>
      </c>
      <c r="J66" s="37"/>
      <c r="K66" s="37"/>
      <c r="L66" s="37"/>
      <c r="M66" s="37"/>
      <c r="N66" s="38"/>
      <c r="O66" s="38"/>
      <c r="P66" s="38"/>
      <c r="Q66" s="38"/>
      <c r="R66" s="38" t="s">
        <v>256</v>
      </c>
      <c r="S66"/>
      <c r="T66" s="4"/>
      <c r="U66" s="4"/>
    </row>
    <row r="67" spans="1:21" s="5" customFormat="1" x14ac:dyDescent="0.2">
      <c r="A67" s="48" t="s">
        <v>252</v>
      </c>
      <c r="B67" s="52">
        <f>$C$77-C67</f>
        <v>5.6944444444444575E-2</v>
      </c>
      <c r="C67" s="52">
        <f>$C$74-TIME(1,15,0)</f>
        <v>0.73958333333333326</v>
      </c>
      <c r="D67" s="48"/>
      <c r="E67" s="52"/>
      <c r="F67" s="18" t="s">
        <v>366</v>
      </c>
      <c r="G67" s="18" t="s">
        <v>271</v>
      </c>
      <c r="H67" s="18" t="s">
        <v>530</v>
      </c>
      <c r="I67" s="18" t="s">
        <v>254</v>
      </c>
      <c r="J67" s="37"/>
      <c r="K67" s="37"/>
      <c r="L67" s="37"/>
      <c r="M67" s="37"/>
      <c r="N67" s="38"/>
      <c r="O67" s="38"/>
      <c r="P67" s="38"/>
      <c r="Q67" s="38"/>
      <c r="R67" s="38" t="s">
        <v>256</v>
      </c>
      <c r="S67"/>
      <c r="T67" s="4"/>
      <c r="U67" s="4"/>
    </row>
    <row r="68" spans="1:21" s="5" customFormat="1" x14ac:dyDescent="0.2">
      <c r="A68" s="48" t="s">
        <v>252</v>
      </c>
      <c r="B68" s="52">
        <f>$C$77-C68</f>
        <v>4.6527777777777835E-2</v>
      </c>
      <c r="C68" s="52">
        <f>$C$74-TIME(1,0,0)</f>
        <v>0.75</v>
      </c>
      <c r="D68" s="48"/>
      <c r="E68" s="52"/>
      <c r="F68" s="18" t="s">
        <v>52</v>
      </c>
      <c r="G68" s="18" t="s">
        <v>271</v>
      </c>
      <c r="H68" s="18" t="s">
        <v>530</v>
      </c>
      <c r="I68" s="18" t="s">
        <v>254</v>
      </c>
      <c r="J68" s="37"/>
      <c r="K68" s="37"/>
      <c r="L68" s="37"/>
      <c r="M68" s="37"/>
      <c r="N68" s="38"/>
      <c r="O68" s="38"/>
      <c r="P68" s="38"/>
      <c r="Q68" s="38"/>
      <c r="R68" s="38" t="s">
        <v>256</v>
      </c>
      <c r="S68"/>
      <c r="T68" s="4"/>
      <c r="U68" s="4"/>
    </row>
    <row r="69" spans="1:21" s="5" customFormat="1" x14ac:dyDescent="0.2">
      <c r="A69" s="48" t="s">
        <v>252</v>
      </c>
      <c r="B69" s="52"/>
      <c r="C69" s="52"/>
      <c r="D69" s="48"/>
      <c r="E69" s="52"/>
      <c r="F69" s="20" t="s">
        <v>53</v>
      </c>
      <c r="G69" s="18"/>
      <c r="H69" s="18"/>
      <c r="I69" s="18" t="s">
        <v>254</v>
      </c>
      <c r="J69" s="37"/>
      <c r="K69" s="37"/>
      <c r="L69" s="37"/>
      <c r="M69" s="37"/>
      <c r="N69" s="38"/>
      <c r="O69" s="38"/>
      <c r="P69" s="38"/>
      <c r="Q69" s="38"/>
      <c r="R69" s="38" t="s">
        <v>256</v>
      </c>
      <c r="S69"/>
      <c r="T69" s="4"/>
      <c r="U69" s="4"/>
    </row>
    <row r="70" spans="1:21" s="5" customFormat="1" x14ac:dyDescent="0.2">
      <c r="A70" s="48" t="s">
        <v>252</v>
      </c>
      <c r="B70" s="52"/>
      <c r="C70" s="52"/>
      <c r="D70" s="48"/>
      <c r="E70" s="52"/>
      <c r="F70" s="18" t="s">
        <v>55</v>
      </c>
      <c r="G70" s="18" t="s">
        <v>39</v>
      </c>
      <c r="H70" s="18" t="s">
        <v>531</v>
      </c>
      <c r="I70" s="18" t="s">
        <v>254</v>
      </c>
      <c r="J70" s="37"/>
      <c r="K70" s="37"/>
      <c r="L70" s="37"/>
      <c r="M70" s="37"/>
      <c r="N70" s="38"/>
      <c r="O70" s="38"/>
      <c r="P70" s="38"/>
      <c r="Q70" s="38"/>
      <c r="R70" s="38" t="s">
        <v>256</v>
      </c>
      <c r="S70"/>
      <c r="T70" s="4"/>
      <c r="U70" s="4"/>
    </row>
    <row r="71" spans="1:21" s="5" customFormat="1" x14ac:dyDescent="0.2">
      <c r="A71" s="48" t="s">
        <v>252</v>
      </c>
      <c r="B71" s="52"/>
      <c r="C71" s="52"/>
      <c r="D71" s="48"/>
      <c r="E71" s="52">
        <v>0.75</v>
      </c>
      <c r="F71" s="62" t="s">
        <v>367</v>
      </c>
      <c r="G71" s="18" t="s">
        <v>266</v>
      </c>
      <c r="H71" s="18"/>
      <c r="I71" s="18" t="s">
        <v>254</v>
      </c>
      <c r="J71" s="37"/>
      <c r="K71" s="37"/>
      <c r="L71" s="37"/>
      <c r="M71" s="37"/>
      <c r="N71" s="38"/>
      <c r="O71" s="38"/>
      <c r="P71" s="38"/>
      <c r="Q71" s="38"/>
      <c r="R71" s="38" t="s">
        <v>256</v>
      </c>
      <c r="S71"/>
      <c r="T71" s="4"/>
      <c r="U71" s="4"/>
    </row>
    <row r="72" spans="1:21" s="5" customFormat="1" x14ac:dyDescent="0.2">
      <c r="A72" s="48" t="s">
        <v>252</v>
      </c>
      <c r="B72" s="52"/>
      <c r="C72" s="52"/>
      <c r="D72" s="48"/>
      <c r="E72" s="52">
        <f>$C$74-TIME(0,15,0)</f>
        <v>0.78125</v>
      </c>
      <c r="F72" s="18" t="s">
        <v>274</v>
      </c>
      <c r="G72" s="18" t="s">
        <v>269</v>
      </c>
      <c r="H72" s="18"/>
      <c r="I72" s="18" t="s">
        <v>254</v>
      </c>
      <c r="J72" s="37"/>
      <c r="K72" s="37"/>
      <c r="L72" s="37"/>
      <c r="M72" s="37"/>
      <c r="N72" s="38"/>
      <c r="O72" s="38"/>
      <c r="P72" s="38"/>
      <c r="Q72" s="38"/>
      <c r="R72" s="38" t="s">
        <v>256</v>
      </c>
      <c r="S72"/>
      <c r="T72" s="4"/>
      <c r="U72" s="4"/>
    </row>
    <row r="73" spans="1:21" s="5" customFormat="1" x14ac:dyDescent="0.2">
      <c r="A73" s="48" t="s">
        <v>252</v>
      </c>
      <c r="B73" s="52">
        <f>$C$77-C73</f>
        <v>1.5277777777777835E-2</v>
      </c>
      <c r="C73" s="52">
        <f>$C$74-TIME(0,15,0)</f>
        <v>0.78125</v>
      </c>
      <c r="D73" s="50">
        <f>E73-C73</f>
        <v>0.12847222222222221</v>
      </c>
      <c r="E73" s="52">
        <v>0.90972222222222221</v>
      </c>
      <c r="F73" s="18" t="s">
        <v>56</v>
      </c>
      <c r="G73" s="18" t="s">
        <v>269</v>
      </c>
      <c r="H73" s="18"/>
      <c r="I73" s="18" t="s">
        <v>254</v>
      </c>
      <c r="J73" s="37"/>
      <c r="K73" s="37"/>
      <c r="L73" s="37"/>
      <c r="M73" s="37"/>
      <c r="N73" s="38"/>
      <c r="O73" s="38"/>
      <c r="P73" s="38"/>
      <c r="Q73" s="38"/>
      <c r="R73" s="38" t="s">
        <v>256</v>
      </c>
      <c r="S73"/>
      <c r="T73" s="4"/>
      <c r="U73" s="4"/>
    </row>
    <row r="74" spans="1:21" s="74" customFormat="1" x14ac:dyDescent="0.2">
      <c r="A74" s="75" t="s">
        <v>252</v>
      </c>
      <c r="B74" s="65">
        <f>$C$77-C74</f>
        <v>4.8611111111112049E-3</v>
      </c>
      <c r="C74" s="65">
        <v>0.79166666666666663</v>
      </c>
      <c r="D74" s="75"/>
      <c r="E74" s="65"/>
      <c r="F74" s="31" t="s">
        <v>57</v>
      </c>
      <c r="G74" s="76"/>
      <c r="H74" s="76"/>
      <c r="I74" s="76" t="s">
        <v>254</v>
      </c>
      <c r="J74" s="76" t="s">
        <v>587</v>
      </c>
      <c r="K74" s="76"/>
      <c r="L74" s="108">
        <f t="shared" ref="L74:L102" si="23">C74</f>
        <v>0.79166666666666663</v>
      </c>
      <c r="M74" s="108"/>
      <c r="N74" s="75"/>
      <c r="O74" s="75"/>
      <c r="P74" s="75"/>
      <c r="Q74" s="75"/>
      <c r="R74" s="75" t="s">
        <v>256</v>
      </c>
      <c r="S74" s="1"/>
      <c r="T74" s="73"/>
      <c r="U74" s="73"/>
    </row>
    <row r="75" spans="1:21" s="5" customFormat="1" x14ac:dyDescent="0.2">
      <c r="A75" s="48" t="s">
        <v>252</v>
      </c>
      <c r="B75" s="52">
        <f>$C$77-C75</f>
        <v>3.4722222222222099E-3</v>
      </c>
      <c r="C75" s="52">
        <f>$C$77-TIME(0,5,0)</f>
        <v>0.79305555555555562</v>
      </c>
      <c r="D75" s="48"/>
      <c r="E75" s="52"/>
      <c r="F75" s="18" t="s">
        <v>275</v>
      </c>
      <c r="G75" s="18" t="s">
        <v>269</v>
      </c>
      <c r="H75" s="18"/>
      <c r="I75" s="18" t="s">
        <v>254</v>
      </c>
      <c r="J75" s="18" t="s">
        <v>587</v>
      </c>
      <c r="K75" s="37"/>
      <c r="L75" s="105">
        <f t="shared" si="23"/>
        <v>0.79305555555555562</v>
      </c>
      <c r="M75" s="105"/>
      <c r="N75" s="38"/>
      <c r="O75" s="38" t="s">
        <v>256</v>
      </c>
      <c r="P75" s="38" t="s">
        <v>256</v>
      </c>
      <c r="Q75" s="38" t="s">
        <v>256</v>
      </c>
      <c r="R75" s="38"/>
      <c r="S75"/>
      <c r="T75" s="4"/>
      <c r="U75" s="4"/>
    </row>
    <row r="76" spans="1:21" s="5" customFormat="1" x14ac:dyDescent="0.2">
      <c r="A76" s="48" t="s">
        <v>252</v>
      </c>
      <c r="B76" s="52">
        <f>$C$77-C76</f>
        <v>1.0416666666667185E-3</v>
      </c>
      <c r="C76" s="52">
        <f>$C$77-TIME(0,1,30)</f>
        <v>0.79548611111111112</v>
      </c>
      <c r="D76" s="52">
        <f>E76-C76</f>
        <v>1.0416666666667185E-3</v>
      </c>
      <c r="E76" s="52">
        <f>$C$77</f>
        <v>0.79652777777777783</v>
      </c>
      <c r="F76" s="18" t="s">
        <v>277</v>
      </c>
      <c r="G76" s="18" t="s">
        <v>39</v>
      </c>
      <c r="H76" s="18" t="s">
        <v>531</v>
      </c>
      <c r="I76" s="18" t="s">
        <v>254</v>
      </c>
      <c r="J76" s="18" t="s">
        <v>587</v>
      </c>
      <c r="K76" s="37"/>
      <c r="L76" s="105">
        <f t="shared" si="23"/>
        <v>0.79548611111111112</v>
      </c>
      <c r="M76" s="105">
        <f t="shared" ref="M76:M100" si="24">E76</f>
        <v>0.79652777777777783</v>
      </c>
      <c r="N76" s="38"/>
      <c r="O76" s="38" t="s">
        <v>256</v>
      </c>
      <c r="P76" s="38" t="s">
        <v>256</v>
      </c>
      <c r="Q76" s="38" t="s">
        <v>256</v>
      </c>
      <c r="R76" s="38"/>
      <c r="S76"/>
      <c r="T76" s="4"/>
      <c r="U76" s="4"/>
    </row>
    <row r="77" spans="1:21" s="5" customFormat="1" x14ac:dyDescent="0.2">
      <c r="A77" s="43"/>
      <c r="B77" s="43"/>
      <c r="C77" s="57">
        <v>0.79652777777777783</v>
      </c>
      <c r="D77" s="43"/>
      <c r="E77" s="54"/>
      <c r="F77" s="32" t="s">
        <v>60</v>
      </c>
      <c r="G77" s="42"/>
      <c r="H77" s="42"/>
      <c r="I77" s="42" t="s">
        <v>254</v>
      </c>
      <c r="J77" s="42" t="s">
        <v>587</v>
      </c>
      <c r="K77" s="42"/>
      <c r="L77" s="104">
        <f t="shared" si="23"/>
        <v>0.79652777777777783</v>
      </c>
      <c r="M77" s="104"/>
      <c r="N77" s="43"/>
      <c r="O77" s="43" t="s">
        <v>256</v>
      </c>
      <c r="P77" s="43" t="s">
        <v>256</v>
      </c>
      <c r="Q77" s="43" t="s">
        <v>256</v>
      </c>
      <c r="R77" s="43" t="s">
        <v>256</v>
      </c>
      <c r="S77"/>
      <c r="T77" s="4"/>
      <c r="U77" s="4"/>
    </row>
    <row r="78" spans="1:21" s="5" customFormat="1" x14ac:dyDescent="0.2">
      <c r="A78" s="48" t="s">
        <v>279</v>
      </c>
      <c r="B78" s="52">
        <f>C78-$C$77</f>
        <v>0</v>
      </c>
      <c r="C78" s="52">
        <f>'[1]Day 3-F'!$C$11</f>
        <v>0.79652777777777783</v>
      </c>
      <c r="D78" s="50">
        <f t="shared" ref="D78:D103" si="25">E78-C78</f>
        <v>3.8194444444444864E-3</v>
      </c>
      <c r="E78" s="52">
        <f>C79</f>
        <v>0.80034722222222232</v>
      </c>
      <c r="F78" s="18" t="s">
        <v>588</v>
      </c>
      <c r="G78" s="18" t="s">
        <v>269</v>
      </c>
      <c r="H78" s="18"/>
      <c r="I78" s="18" t="s">
        <v>254</v>
      </c>
      <c r="J78" s="18" t="s">
        <v>587</v>
      </c>
      <c r="K78" s="61" t="s">
        <v>589</v>
      </c>
      <c r="L78" s="107">
        <f t="shared" si="23"/>
        <v>0.79652777777777783</v>
      </c>
      <c r="M78" s="105">
        <f t="shared" si="24"/>
        <v>0.80034722222222232</v>
      </c>
      <c r="N78" s="38"/>
      <c r="O78" s="38" t="s">
        <v>256</v>
      </c>
      <c r="P78" s="38" t="s">
        <v>256</v>
      </c>
      <c r="Q78" s="38" t="s">
        <v>256</v>
      </c>
      <c r="R78" s="38"/>
      <c r="S78"/>
      <c r="T78" s="4"/>
      <c r="U78" s="4"/>
    </row>
    <row r="79" spans="1:21" s="5" customFormat="1" x14ac:dyDescent="0.2">
      <c r="A79" s="48" t="s">
        <v>279</v>
      </c>
      <c r="B79" s="52">
        <f t="shared" ref="B79:B100" si="26">C79-$C$77</f>
        <v>3.8194444444444864E-3</v>
      </c>
      <c r="C79" s="52">
        <f>'[1]Day 3-F'!$C$15</f>
        <v>0.80034722222222232</v>
      </c>
      <c r="D79" s="50">
        <f t="shared" si="25"/>
        <v>3.6458333333333481E-3</v>
      </c>
      <c r="E79" s="52">
        <f t="shared" ref="E79:E100" si="27">C80</f>
        <v>0.80399305555555567</v>
      </c>
      <c r="F79" s="18" t="s">
        <v>590</v>
      </c>
      <c r="G79" s="18" t="s">
        <v>269</v>
      </c>
      <c r="H79" s="18"/>
      <c r="I79" s="18" t="s">
        <v>254</v>
      </c>
      <c r="J79" s="18" t="s">
        <v>587</v>
      </c>
      <c r="K79" s="61" t="s">
        <v>591</v>
      </c>
      <c r="L79" s="107">
        <f t="shared" si="23"/>
        <v>0.80034722222222232</v>
      </c>
      <c r="M79" s="105">
        <f t="shared" si="24"/>
        <v>0.80399305555555567</v>
      </c>
      <c r="N79" s="38"/>
      <c r="O79" s="38" t="s">
        <v>256</v>
      </c>
      <c r="P79" s="38" t="s">
        <v>256</v>
      </c>
      <c r="Q79" s="38" t="s">
        <v>256</v>
      </c>
      <c r="R79" s="38"/>
      <c r="S79"/>
      <c r="T79" s="4"/>
      <c r="U79" s="4"/>
    </row>
    <row r="80" spans="1:21" s="5" customFormat="1" x14ac:dyDescent="0.2">
      <c r="A80" s="48" t="s">
        <v>279</v>
      </c>
      <c r="B80" s="52">
        <f t="shared" si="26"/>
        <v>7.4652777777778345E-3</v>
      </c>
      <c r="C80" s="52">
        <f>'[1]Day 3-F'!$C$19</f>
        <v>0.80399305555555567</v>
      </c>
      <c r="D80" s="50">
        <f t="shared" si="25"/>
        <v>3.6921296296297257E-3</v>
      </c>
      <c r="E80" s="52">
        <f t="shared" si="27"/>
        <v>0.80768518518518539</v>
      </c>
      <c r="F80" s="18" t="s">
        <v>592</v>
      </c>
      <c r="G80" s="18" t="s">
        <v>269</v>
      </c>
      <c r="H80" s="18"/>
      <c r="I80" s="18" t="s">
        <v>254</v>
      </c>
      <c r="J80" s="18" t="s">
        <v>587</v>
      </c>
      <c r="K80" s="61" t="str">
        <f>[2]EVENT_UNIT!$A$7804</f>
        <v>SWMW50MBF-------------SFNL000100--</v>
      </c>
      <c r="L80" s="107">
        <f t="shared" si="23"/>
        <v>0.80399305555555567</v>
      </c>
      <c r="M80" s="105">
        <f t="shared" si="24"/>
        <v>0.80768518518518539</v>
      </c>
      <c r="N80" s="38"/>
      <c r="O80" s="38" t="s">
        <v>256</v>
      </c>
      <c r="P80" s="38" t="s">
        <v>256</v>
      </c>
      <c r="Q80" s="38" t="s">
        <v>256</v>
      </c>
      <c r="R80" s="38"/>
      <c r="S80"/>
      <c r="T80" s="4"/>
      <c r="U80" s="4"/>
    </row>
    <row r="81" spans="1:21" s="5" customFormat="1" x14ac:dyDescent="0.2">
      <c r="A81" s="48" t="s">
        <v>279</v>
      </c>
      <c r="B81" s="52">
        <f t="shared" si="26"/>
        <v>1.115740740740756E-2</v>
      </c>
      <c r="C81" s="52">
        <f>'[1]Day 3-F'!$C$23</f>
        <v>0.80768518518518539</v>
      </c>
      <c r="D81" s="50">
        <f t="shared" si="25"/>
        <v>3.5185185185185874E-3</v>
      </c>
      <c r="E81" s="52">
        <f t="shared" si="27"/>
        <v>0.81120370370370398</v>
      </c>
      <c r="F81" s="18" t="s">
        <v>593</v>
      </c>
      <c r="G81" s="18" t="s">
        <v>269</v>
      </c>
      <c r="H81" s="18"/>
      <c r="I81" s="18" t="s">
        <v>254</v>
      </c>
      <c r="J81" s="18" t="s">
        <v>587</v>
      </c>
      <c r="K81" s="44" t="str">
        <f>[2]EVENT_UNIT!$A$7806</f>
        <v>SWMW50MBF-------------SFNL000200--</v>
      </c>
      <c r="L81" s="107">
        <f t="shared" si="23"/>
        <v>0.80768518518518539</v>
      </c>
      <c r="M81" s="105">
        <f t="shared" si="24"/>
        <v>0.81120370370370398</v>
      </c>
      <c r="N81" s="38"/>
      <c r="O81" s="38" t="s">
        <v>256</v>
      </c>
      <c r="P81" s="38" t="s">
        <v>256</v>
      </c>
      <c r="Q81" s="38" t="s">
        <v>256</v>
      </c>
      <c r="R81" s="38"/>
      <c r="S81"/>
      <c r="T81" s="4"/>
      <c r="U81" s="4"/>
    </row>
    <row r="82" spans="1:21" s="5" customFormat="1" x14ac:dyDescent="0.2">
      <c r="A82" s="48" t="s">
        <v>279</v>
      </c>
      <c r="B82" s="52">
        <f t="shared" si="26"/>
        <v>1.4675925925926148E-2</v>
      </c>
      <c r="C82" s="52">
        <f>'[1]Day 3-F'!$C$27</f>
        <v>0.81120370370370398</v>
      </c>
      <c r="D82" s="50">
        <f t="shared" si="25"/>
        <v>5.0925925925926485E-3</v>
      </c>
      <c r="E82" s="52">
        <f t="shared" si="27"/>
        <v>0.81629629629629663</v>
      </c>
      <c r="F82" s="7" t="s">
        <v>594</v>
      </c>
      <c r="G82" s="18" t="s">
        <v>269</v>
      </c>
      <c r="H82" s="18"/>
      <c r="I82" s="18" t="s">
        <v>254</v>
      </c>
      <c r="J82" s="18" t="s">
        <v>587</v>
      </c>
      <c r="K82" s="44" t="str">
        <f>[2]EVENT_UNIT!$A$7025</f>
        <v>SWMM200MBF------------FNL-000100--</v>
      </c>
      <c r="L82" s="107">
        <f t="shared" si="23"/>
        <v>0.81120370370370398</v>
      </c>
      <c r="M82" s="105">
        <f t="shared" si="24"/>
        <v>0.81629629629629663</v>
      </c>
      <c r="N82" s="38"/>
      <c r="O82" s="38" t="s">
        <v>256</v>
      </c>
      <c r="P82" s="38" t="s">
        <v>256</v>
      </c>
      <c r="Q82" s="38" t="s">
        <v>256</v>
      </c>
      <c r="R82" s="38"/>
      <c r="S82"/>
      <c r="T82" s="4"/>
      <c r="U82" s="4"/>
    </row>
    <row r="83" spans="1:21" s="5" customFormat="1" x14ac:dyDescent="0.2">
      <c r="A83" s="48" t="s">
        <v>279</v>
      </c>
      <c r="B83" s="52">
        <f t="shared" si="26"/>
        <v>1.9768518518518796E-2</v>
      </c>
      <c r="C83" s="52">
        <f>'[1]Day 3-F'!$C$31</f>
        <v>0.81629629629629663</v>
      </c>
      <c r="D83" s="50">
        <f t="shared" si="25"/>
        <v>4.8842592592592826E-3</v>
      </c>
      <c r="E83" s="52">
        <f t="shared" si="27"/>
        <v>0.82118055555555591</v>
      </c>
      <c r="F83" s="7" t="s">
        <v>595</v>
      </c>
      <c r="G83" s="18" t="s">
        <v>269</v>
      </c>
      <c r="H83" s="18"/>
      <c r="I83" s="18" t="s">
        <v>254</v>
      </c>
      <c r="J83" s="18" t="s">
        <v>587</v>
      </c>
      <c r="K83" s="44" t="s">
        <v>596</v>
      </c>
      <c r="L83" s="107">
        <f t="shared" si="23"/>
        <v>0.81629629629629663</v>
      </c>
      <c r="M83" s="105">
        <f t="shared" si="24"/>
        <v>0.82118055555555591</v>
      </c>
      <c r="N83" s="38"/>
      <c r="O83" s="38" t="s">
        <v>256</v>
      </c>
      <c r="P83" s="38" t="s">
        <v>256</v>
      </c>
      <c r="Q83" s="38" t="s">
        <v>256</v>
      </c>
      <c r="R83" s="38"/>
      <c r="S83"/>
      <c r="T83" s="4"/>
      <c r="U83" s="4"/>
    </row>
    <row r="84" spans="1:21" s="5" customFormat="1" x14ac:dyDescent="0.2">
      <c r="A84" s="48" t="s">
        <v>279</v>
      </c>
      <c r="B84" s="52">
        <f t="shared" si="26"/>
        <v>2.4652777777778079E-2</v>
      </c>
      <c r="C84" s="52">
        <f>'[1]Day 3-F'!$C$35</f>
        <v>0.82118055555555591</v>
      </c>
      <c r="D84" s="50">
        <f t="shared" si="25"/>
        <v>5.5208333333334192E-3</v>
      </c>
      <c r="E84" s="52">
        <f t="shared" si="27"/>
        <v>0.82670138888888933</v>
      </c>
      <c r="F84" s="7" t="s">
        <v>597</v>
      </c>
      <c r="G84" s="18" t="s">
        <v>269</v>
      </c>
      <c r="H84" s="18"/>
      <c r="I84" s="18" t="s">
        <v>254</v>
      </c>
      <c r="J84" s="18" t="s">
        <v>587</v>
      </c>
      <c r="K84" s="44" t="s">
        <v>598</v>
      </c>
      <c r="L84" s="107">
        <f t="shared" si="23"/>
        <v>0.82118055555555591</v>
      </c>
      <c r="M84" s="105">
        <f t="shared" si="24"/>
        <v>0.82670138888888933</v>
      </c>
      <c r="N84" s="38"/>
      <c r="O84" s="38" t="s">
        <v>256</v>
      </c>
      <c r="P84" s="38" t="s">
        <v>256</v>
      </c>
      <c r="Q84" s="38" t="s">
        <v>256</v>
      </c>
      <c r="R84" s="38"/>
      <c r="S84"/>
      <c r="T84" s="4"/>
      <c r="U84" s="4"/>
    </row>
    <row r="85" spans="1:21" s="5" customFormat="1" x14ac:dyDescent="0.2">
      <c r="A85" s="48" t="s">
        <v>279</v>
      </c>
      <c r="B85" s="52">
        <f t="shared" si="26"/>
        <v>3.0173611111111498E-2</v>
      </c>
      <c r="C85" s="52">
        <f>'[1]Day 3-F'!$C$39</f>
        <v>0.82670138888888933</v>
      </c>
      <c r="D85" s="50">
        <f t="shared" si="25"/>
        <v>5.2083333333333703E-3</v>
      </c>
      <c r="E85" s="52">
        <f t="shared" si="27"/>
        <v>0.8319097222222227</v>
      </c>
      <c r="F85" s="34" t="s">
        <v>599</v>
      </c>
      <c r="G85" s="18" t="s">
        <v>269</v>
      </c>
      <c r="H85" s="18"/>
      <c r="I85" s="18" t="s">
        <v>254</v>
      </c>
      <c r="J85" s="18" t="s">
        <v>587</v>
      </c>
      <c r="K85" s="44" t="s">
        <v>600</v>
      </c>
      <c r="L85" s="107">
        <f t="shared" si="23"/>
        <v>0.82670138888888933</v>
      </c>
      <c r="M85" s="105">
        <f t="shared" si="24"/>
        <v>0.8319097222222227</v>
      </c>
      <c r="N85" s="38"/>
      <c r="O85" s="38" t="s">
        <v>256</v>
      </c>
      <c r="P85" s="38" t="s">
        <v>256</v>
      </c>
      <c r="Q85" s="38" t="s">
        <v>256</v>
      </c>
      <c r="R85" s="38"/>
      <c r="S85"/>
      <c r="T85" s="4"/>
      <c r="U85" s="4"/>
    </row>
    <row r="86" spans="1:21" s="5" customFormat="1" x14ac:dyDescent="0.2">
      <c r="A86" s="48" t="s">
        <v>279</v>
      </c>
      <c r="B86" s="52">
        <f t="shared" si="26"/>
        <v>3.5381944444444868E-2</v>
      </c>
      <c r="C86" s="52">
        <f>'[1]Day 3-F'!$C$40</f>
        <v>0.8319097222222227</v>
      </c>
      <c r="D86" s="50">
        <f t="shared" si="25"/>
        <v>5.2083333333333703E-3</v>
      </c>
      <c r="E86" s="52">
        <f t="shared" si="27"/>
        <v>0.83711805555555607</v>
      </c>
      <c r="F86" s="34" t="s">
        <v>601</v>
      </c>
      <c r="G86" s="18" t="s">
        <v>269</v>
      </c>
      <c r="H86" s="18"/>
      <c r="I86" s="18" t="s">
        <v>254</v>
      </c>
      <c r="J86" s="18" t="s">
        <v>587</v>
      </c>
      <c r="K86" s="44" t="s">
        <v>602</v>
      </c>
      <c r="L86" s="107">
        <f t="shared" si="23"/>
        <v>0.8319097222222227</v>
      </c>
      <c r="M86" s="105">
        <f t="shared" si="24"/>
        <v>0.83711805555555607</v>
      </c>
      <c r="N86" s="38"/>
      <c r="O86" s="38" t="s">
        <v>256</v>
      </c>
      <c r="P86" s="38" t="s">
        <v>256</v>
      </c>
      <c r="Q86" s="38" t="s">
        <v>256</v>
      </c>
      <c r="R86" s="38"/>
      <c r="S86"/>
      <c r="T86" s="4"/>
      <c r="U86" s="4"/>
    </row>
    <row r="87" spans="1:21" s="5" customFormat="1" x14ac:dyDescent="0.2">
      <c r="A87" s="48" t="s">
        <v>279</v>
      </c>
      <c r="B87" s="52">
        <f>C87-$C$77</f>
        <v>4.0590277777778239E-2</v>
      </c>
      <c r="C87" s="52">
        <f>'[1]Day 3-F'!$C$41</f>
        <v>0.83711805555555607</v>
      </c>
      <c r="D87" s="50">
        <f t="shared" si="25"/>
        <v>4.0046296296297745E-3</v>
      </c>
      <c r="E87" s="52">
        <f t="shared" si="27"/>
        <v>0.84112268518518585</v>
      </c>
      <c r="F87" s="7" t="s">
        <v>603</v>
      </c>
      <c r="G87" s="18" t="s">
        <v>269</v>
      </c>
      <c r="H87" s="18"/>
      <c r="I87" s="18" t="s">
        <v>254</v>
      </c>
      <c r="J87" s="18" t="s">
        <v>587</v>
      </c>
      <c r="K87" s="18" t="s">
        <v>604</v>
      </c>
      <c r="L87" s="105">
        <f>C87</f>
        <v>0.83711805555555607</v>
      </c>
      <c r="M87" s="105">
        <f>E87</f>
        <v>0.84112268518518585</v>
      </c>
      <c r="N87" s="38"/>
      <c r="O87" s="38" t="s">
        <v>256</v>
      </c>
      <c r="P87" s="38" t="s">
        <v>256</v>
      </c>
      <c r="Q87" s="38" t="s">
        <v>256</v>
      </c>
      <c r="R87" s="38"/>
      <c r="S87"/>
      <c r="T87" s="4"/>
      <c r="U87" s="4"/>
    </row>
    <row r="88" spans="1:21" s="5" customFormat="1" x14ac:dyDescent="0.2">
      <c r="A88" s="48" t="s">
        <v>279</v>
      </c>
      <c r="B88" s="52">
        <f t="shared" si="26"/>
        <v>4.4594907407408013E-2</v>
      </c>
      <c r="C88" s="52">
        <f>'[1]Day 3-F'!$C$45</f>
        <v>0.84112268518518585</v>
      </c>
      <c r="D88" s="50">
        <f t="shared" si="25"/>
        <v>3.9351851851852082E-3</v>
      </c>
      <c r="E88" s="52">
        <f t="shared" si="27"/>
        <v>0.84505787037037106</v>
      </c>
      <c r="F88" s="18" t="s">
        <v>605</v>
      </c>
      <c r="G88" s="18" t="s">
        <v>269</v>
      </c>
      <c r="H88" s="18"/>
      <c r="I88" s="18" t="s">
        <v>254</v>
      </c>
      <c r="J88" s="18" t="s">
        <v>587</v>
      </c>
      <c r="K88" s="18" t="s">
        <v>606</v>
      </c>
      <c r="L88" s="105">
        <f t="shared" si="23"/>
        <v>0.84112268518518585</v>
      </c>
      <c r="M88" s="105">
        <f t="shared" si="24"/>
        <v>0.84505787037037106</v>
      </c>
      <c r="N88" s="38"/>
      <c r="O88" s="38" t="s">
        <v>256</v>
      </c>
      <c r="P88" s="38" t="s">
        <v>256</v>
      </c>
      <c r="Q88" s="38" t="s">
        <v>256</v>
      </c>
      <c r="R88" s="38"/>
      <c r="S88"/>
      <c r="T88" s="4"/>
      <c r="U88" s="4"/>
    </row>
    <row r="89" spans="1:21" s="5" customFormat="1" x14ac:dyDescent="0.2">
      <c r="A89" s="48" t="s">
        <v>279</v>
      </c>
      <c r="B89" s="52">
        <f t="shared" si="26"/>
        <v>4.8530092592593221E-2</v>
      </c>
      <c r="C89" s="52">
        <f>'[1]Day 3-F'!$C$49</f>
        <v>0.84505787037037106</v>
      </c>
      <c r="D89" s="50">
        <f t="shared" si="25"/>
        <v>3.76157407407407E-3</v>
      </c>
      <c r="E89" s="52">
        <f t="shared" si="27"/>
        <v>0.84881944444444513</v>
      </c>
      <c r="F89" s="18" t="s">
        <v>607</v>
      </c>
      <c r="G89" s="18" t="s">
        <v>269</v>
      </c>
      <c r="H89" s="18"/>
      <c r="I89" s="18" t="s">
        <v>254</v>
      </c>
      <c r="J89" s="18" t="s">
        <v>587</v>
      </c>
      <c r="K89" s="18" t="s">
        <v>608</v>
      </c>
      <c r="L89" s="105">
        <f t="shared" si="23"/>
        <v>0.84505787037037106</v>
      </c>
      <c r="M89" s="105">
        <f t="shared" si="24"/>
        <v>0.84881944444444513</v>
      </c>
      <c r="N89" s="38"/>
      <c r="O89" s="38" t="s">
        <v>256</v>
      </c>
      <c r="P89" s="38" t="s">
        <v>256</v>
      </c>
      <c r="Q89" s="38" t="s">
        <v>256</v>
      </c>
      <c r="R89" s="38"/>
      <c r="S89"/>
      <c r="T89" s="4"/>
      <c r="U89" s="4"/>
    </row>
    <row r="90" spans="1:21" s="5" customFormat="1" x14ac:dyDescent="0.2">
      <c r="A90" s="48" t="s">
        <v>279</v>
      </c>
      <c r="B90" s="52">
        <f>C90-$C$77</f>
        <v>5.2291666666667291E-2</v>
      </c>
      <c r="C90" s="52">
        <f>'[1]Day 3-F'!$C$53</f>
        <v>0.84881944444444513</v>
      </c>
      <c r="D90" s="50">
        <f t="shared" si="25"/>
        <v>5.439814814814925E-3</v>
      </c>
      <c r="E90" s="52">
        <f t="shared" si="27"/>
        <v>0.85425925925926005</v>
      </c>
      <c r="F90" s="7" t="s">
        <v>609</v>
      </c>
      <c r="G90" s="18" t="s">
        <v>269</v>
      </c>
      <c r="H90" s="18"/>
      <c r="I90" s="18" t="s">
        <v>254</v>
      </c>
      <c r="J90" s="18" t="s">
        <v>587</v>
      </c>
      <c r="K90" s="44" t="s">
        <v>610</v>
      </c>
      <c r="L90" s="107">
        <f>C90</f>
        <v>0.84881944444444513</v>
      </c>
      <c r="M90" s="105">
        <f>E90</f>
        <v>0.85425925925926005</v>
      </c>
      <c r="N90" s="38"/>
      <c r="O90" s="38" t="s">
        <v>256</v>
      </c>
      <c r="P90" s="38" t="s">
        <v>256</v>
      </c>
      <c r="Q90" s="38" t="s">
        <v>256</v>
      </c>
      <c r="R90" s="38"/>
      <c r="S90"/>
      <c r="T90" s="4"/>
      <c r="U90" s="4"/>
    </row>
    <row r="91" spans="1:21" s="5" customFormat="1" x14ac:dyDescent="0.2">
      <c r="A91" s="48" t="s">
        <v>279</v>
      </c>
      <c r="B91" s="52">
        <f t="shared" si="26"/>
        <v>5.7731481481482216E-2</v>
      </c>
      <c r="C91" s="52">
        <f>'[1]Day 3-F'!$C$57</f>
        <v>0.85425925925926005</v>
      </c>
      <c r="D91" s="50">
        <f t="shared" si="25"/>
        <v>5.2083333333333703E-3</v>
      </c>
      <c r="E91" s="52">
        <f t="shared" si="27"/>
        <v>0.85946759259259342</v>
      </c>
      <c r="F91" s="34" t="s">
        <v>611</v>
      </c>
      <c r="G91" s="18" t="s">
        <v>269</v>
      </c>
      <c r="H91" s="18"/>
      <c r="I91" s="18" t="s">
        <v>254</v>
      </c>
      <c r="J91" s="18" t="s">
        <v>587</v>
      </c>
      <c r="K91" s="18" t="s">
        <v>612</v>
      </c>
      <c r="L91" s="105">
        <f t="shared" si="23"/>
        <v>0.85425925925926005</v>
      </c>
      <c r="M91" s="105">
        <f t="shared" si="24"/>
        <v>0.85946759259259342</v>
      </c>
      <c r="N91" s="38"/>
      <c r="O91" s="38" t="s">
        <v>256</v>
      </c>
      <c r="P91" s="38" t="s">
        <v>256</v>
      </c>
      <c r="Q91" s="38" t="s">
        <v>256</v>
      </c>
      <c r="R91" s="38"/>
      <c r="S91"/>
      <c r="T91" s="4"/>
      <c r="U91" s="4"/>
    </row>
    <row r="92" spans="1:21" s="5" customFormat="1" x14ac:dyDescent="0.2">
      <c r="A92" s="48" t="s">
        <v>279</v>
      </c>
      <c r="B92" s="52">
        <f t="shared" si="26"/>
        <v>6.2939814814815587E-2</v>
      </c>
      <c r="C92" s="52">
        <f>'[1]Day 3-F'!$C$58</f>
        <v>0.85946759259259342</v>
      </c>
      <c r="D92" s="50">
        <f t="shared" si="25"/>
        <v>5.2083333333333703E-3</v>
      </c>
      <c r="E92" s="52">
        <f t="shared" si="27"/>
        <v>0.86467592592592679</v>
      </c>
      <c r="F92" s="34" t="s">
        <v>613</v>
      </c>
      <c r="G92" s="18" t="s">
        <v>269</v>
      </c>
      <c r="H92" s="18"/>
      <c r="I92" s="18" t="s">
        <v>254</v>
      </c>
      <c r="J92" s="18" t="s">
        <v>587</v>
      </c>
      <c r="K92" s="18" t="s">
        <v>614</v>
      </c>
      <c r="L92" s="105">
        <f t="shared" si="23"/>
        <v>0.85946759259259342</v>
      </c>
      <c r="M92" s="105">
        <f t="shared" si="24"/>
        <v>0.86467592592592679</v>
      </c>
      <c r="N92" s="38"/>
      <c r="O92" s="38" t="s">
        <v>256</v>
      </c>
      <c r="P92" s="38" t="s">
        <v>256</v>
      </c>
      <c r="Q92" s="38" t="s">
        <v>256</v>
      </c>
      <c r="R92" s="38"/>
      <c r="S92"/>
      <c r="T92" s="4"/>
      <c r="U92" s="4"/>
    </row>
    <row r="93" spans="1:21" s="5" customFormat="1" x14ac:dyDescent="0.2">
      <c r="A93" s="48" t="s">
        <v>279</v>
      </c>
      <c r="B93" s="52">
        <f t="shared" si="26"/>
        <v>6.8148148148148957E-2</v>
      </c>
      <c r="C93" s="52">
        <f>'[1]Day 3-F'!$C$59</f>
        <v>0.86467592592592679</v>
      </c>
      <c r="D93" s="50">
        <f t="shared" si="25"/>
        <v>4.5254629629630783E-3</v>
      </c>
      <c r="E93" s="52">
        <f t="shared" si="27"/>
        <v>0.86920138888888987</v>
      </c>
      <c r="F93" s="7" t="s">
        <v>615</v>
      </c>
      <c r="G93" s="18" t="s">
        <v>269</v>
      </c>
      <c r="H93" s="18"/>
      <c r="I93" s="18" t="s">
        <v>254</v>
      </c>
      <c r="J93" s="18" t="s">
        <v>587</v>
      </c>
      <c r="K93" s="18" t="s">
        <v>616</v>
      </c>
      <c r="L93" s="105">
        <f t="shared" si="23"/>
        <v>0.86467592592592679</v>
      </c>
      <c r="M93" s="105">
        <f t="shared" si="24"/>
        <v>0.86920138888888987</v>
      </c>
      <c r="N93" s="38"/>
      <c r="O93" s="38" t="s">
        <v>256</v>
      </c>
      <c r="P93" s="38" t="s">
        <v>256</v>
      </c>
      <c r="Q93" s="38" t="s">
        <v>256</v>
      </c>
      <c r="R93" s="38"/>
      <c r="S93"/>
      <c r="T93" s="4"/>
      <c r="U93" s="4"/>
    </row>
    <row r="94" spans="1:21" s="5" customFormat="1" x14ac:dyDescent="0.2">
      <c r="A94" s="48" t="s">
        <v>279</v>
      </c>
      <c r="B94" s="52">
        <f t="shared" si="26"/>
        <v>7.2673611111112035E-2</v>
      </c>
      <c r="C94" s="52">
        <f>'[1]Day 3-F'!$C$63</f>
        <v>0.86920138888888987</v>
      </c>
      <c r="D94" s="50">
        <f t="shared" si="25"/>
        <v>4.4212962962963953E-3</v>
      </c>
      <c r="E94" s="52">
        <f t="shared" si="27"/>
        <v>0.87362268518518627</v>
      </c>
      <c r="F94" s="7" t="s">
        <v>617</v>
      </c>
      <c r="G94" s="18" t="s">
        <v>269</v>
      </c>
      <c r="H94" s="18"/>
      <c r="I94" s="18" t="s">
        <v>254</v>
      </c>
      <c r="J94" s="18" t="s">
        <v>587</v>
      </c>
      <c r="K94" s="18" t="s">
        <v>618</v>
      </c>
      <c r="L94" s="105">
        <f t="shared" si="23"/>
        <v>0.86920138888888987</v>
      </c>
      <c r="M94" s="105">
        <f t="shared" si="24"/>
        <v>0.87362268518518627</v>
      </c>
      <c r="N94" s="38"/>
      <c r="O94" s="38" t="s">
        <v>256</v>
      </c>
      <c r="P94" s="38" t="s">
        <v>256</v>
      </c>
      <c r="Q94" s="38" t="s">
        <v>256</v>
      </c>
      <c r="R94" s="38"/>
      <c r="S94"/>
      <c r="T94" s="4"/>
      <c r="U94" s="4"/>
    </row>
    <row r="95" spans="1:21" s="5" customFormat="1" x14ac:dyDescent="0.2">
      <c r="A95" s="48" t="s">
        <v>279</v>
      </c>
      <c r="B95" s="52">
        <f t="shared" si="26"/>
        <v>7.7094907407408431E-2</v>
      </c>
      <c r="C95" s="52">
        <f>'[1]Day 3-F'!$C$67</f>
        <v>0.87362268518518627</v>
      </c>
      <c r="D95" s="50">
        <f t="shared" si="25"/>
        <v>5.2083333333333703E-3</v>
      </c>
      <c r="E95" s="52">
        <f t="shared" si="27"/>
        <v>0.87883101851851964</v>
      </c>
      <c r="F95" s="34" t="s">
        <v>619</v>
      </c>
      <c r="G95" s="18" t="s">
        <v>269</v>
      </c>
      <c r="H95" s="18"/>
      <c r="I95" s="18" t="s">
        <v>254</v>
      </c>
      <c r="J95" s="18" t="s">
        <v>587</v>
      </c>
      <c r="K95" s="18" t="s">
        <v>620</v>
      </c>
      <c r="L95" s="105">
        <f t="shared" si="23"/>
        <v>0.87362268518518627</v>
      </c>
      <c r="M95" s="105">
        <f t="shared" si="24"/>
        <v>0.87883101851851964</v>
      </c>
      <c r="N95" s="38"/>
      <c r="O95" s="38" t="s">
        <v>256</v>
      </c>
      <c r="P95" s="38" t="s">
        <v>256</v>
      </c>
      <c r="Q95" s="38" t="s">
        <v>256</v>
      </c>
      <c r="R95" s="38"/>
      <c r="S95"/>
      <c r="T95" s="4"/>
      <c r="U95" s="4"/>
    </row>
    <row r="96" spans="1:21" s="5" customFormat="1" x14ac:dyDescent="0.2">
      <c r="A96" s="48" t="s">
        <v>279</v>
      </c>
      <c r="B96" s="52">
        <f t="shared" si="26"/>
        <v>8.2303240740741801E-2</v>
      </c>
      <c r="C96" s="52">
        <f>'[1]Day 3-F'!$C$68</f>
        <v>0.87883101851851964</v>
      </c>
      <c r="D96" s="50">
        <f t="shared" si="25"/>
        <v>5.2083333333333703E-3</v>
      </c>
      <c r="E96" s="52">
        <f t="shared" si="27"/>
        <v>0.88403935185185301</v>
      </c>
      <c r="F96" s="34" t="s">
        <v>621</v>
      </c>
      <c r="G96" s="18" t="s">
        <v>269</v>
      </c>
      <c r="H96" s="18"/>
      <c r="I96" s="18" t="s">
        <v>254</v>
      </c>
      <c r="J96" s="18" t="s">
        <v>587</v>
      </c>
      <c r="K96" s="18" t="s">
        <v>622</v>
      </c>
      <c r="L96" s="105">
        <f t="shared" si="23"/>
        <v>0.87883101851851964</v>
      </c>
      <c r="M96" s="105">
        <f t="shared" si="24"/>
        <v>0.88403935185185301</v>
      </c>
      <c r="N96" s="38"/>
      <c r="O96" s="38" t="s">
        <v>256</v>
      </c>
      <c r="P96" s="38" t="s">
        <v>256</v>
      </c>
      <c r="Q96" s="38" t="s">
        <v>256</v>
      </c>
      <c r="R96" s="38"/>
      <c r="S96"/>
      <c r="T96" s="4"/>
      <c r="U96" s="4"/>
    </row>
    <row r="97" spans="1:21" s="5" customFormat="1" x14ac:dyDescent="0.2">
      <c r="A97" s="48" t="s">
        <v>279</v>
      </c>
      <c r="B97" s="52">
        <f t="shared" si="26"/>
        <v>8.7511574074075171E-2</v>
      </c>
      <c r="C97" s="52">
        <f>'[1]Day 3-F'!$C$69</f>
        <v>0.88403935185185301</v>
      </c>
      <c r="D97" s="50">
        <f t="shared" si="25"/>
        <v>9.594907407407427E-3</v>
      </c>
      <c r="E97" s="52">
        <f t="shared" si="27"/>
        <v>0.89363425925926043</v>
      </c>
      <c r="F97" s="7" t="s">
        <v>623</v>
      </c>
      <c r="G97" s="18" t="s">
        <v>269</v>
      </c>
      <c r="H97" s="18"/>
      <c r="I97" s="18" t="s">
        <v>254</v>
      </c>
      <c r="J97" s="18" t="s">
        <v>587</v>
      </c>
      <c r="K97" s="18" t="s">
        <v>624</v>
      </c>
      <c r="L97" s="105">
        <f t="shared" si="23"/>
        <v>0.88403935185185301</v>
      </c>
      <c r="M97" s="105">
        <f t="shared" si="24"/>
        <v>0.89363425925926043</v>
      </c>
      <c r="N97" s="38"/>
      <c r="O97" s="38" t="s">
        <v>256</v>
      </c>
      <c r="P97" s="38" t="s">
        <v>256</v>
      </c>
      <c r="Q97" s="38" t="s">
        <v>256</v>
      </c>
      <c r="R97" s="38"/>
      <c r="S97"/>
      <c r="T97" s="4"/>
      <c r="U97" s="4"/>
    </row>
    <row r="98" spans="1:21" s="5" customFormat="1" x14ac:dyDescent="0.2">
      <c r="A98" s="48" t="s">
        <v>279</v>
      </c>
      <c r="B98" s="52">
        <f t="shared" si="26"/>
        <v>9.7106481481482598E-2</v>
      </c>
      <c r="C98" s="52">
        <f>'[1]Day 3-F'!$C$73</f>
        <v>0.89363425925926043</v>
      </c>
      <c r="D98" s="50">
        <f t="shared" si="25"/>
        <v>5.2083333333333703E-3</v>
      </c>
      <c r="E98" s="52">
        <f t="shared" si="27"/>
        <v>0.8988425925925938</v>
      </c>
      <c r="F98" s="34" t="s">
        <v>625</v>
      </c>
      <c r="G98" s="18" t="s">
        <v>269</v>
      </c>
      <c r="H98" s="18"/>
      <c r="I98" s="18" t="s">
        <v>254</v>
      </c>
      <c r="J98" s="18" t="s">
        <v>587</v>
      </c>
      <c r="K98" s="18" t="s">
        <v>626</v>
      </c>
      <c r="L98" s="105">
        <f t="shared" si="23"/>
        <v>0.89363425925926043</v>
      </c>
      <c r="M98" s="105">
        <f t="shared" si="24"/>
        <v>0.8988425925925938</v>
      </c>
      <c r="N98" s="38"/>
      <c r="O98" s="38" t="s">
        <v>256</v>
      </c>
      <c r="P98" s="38" t="s">
        <v>256</v>
      </c>
      <c r="Q98" s="38" t="s">
        <v>256</v>
      </c>
      <c r="R98" s="38"/>
      <c r="S98"/>
      <c r="T98" s="4"/>
      <c r="U98" s="4"/>
    </row>
    <row r="99" spans="1:21" s="5" customFormat="1" x14ac:dyDescent="0.2">
      <c r="A99" s="48" t="s">
        <v>279</v>
      </c>
      <c r="B99" s="52">
        <f t="shared" si="26"/>
        <v>0.10231481481481597</v>
      </c>
      <c r="C99" s="52">
        <f>'[1]Day 3-F'!$C$74</f>
        <v>0.8988425925925938</v>
      </c>
      <c r="D99" s="50">
        <f>E99-C99</f>
        <v>6.2499999999999778E-3</v>
      </c>
      <c r="E99" s="52">
        <f t="shared" si="27"/>
        <v>0.90509259259259378</v>
      </c>
      <c r="F99" s="34" t="s">
        <v>627</v>
      </c>
      <c r="G99" s="18" t="s">
        <v>269</v>
      </c>
      <c r="H99" s="18"/>
      <c r="I99" s="18" t="s">
        <v>254</v>
      </c>
      <c r="J99" s="18" t="s">
        <v>587</v>
      </c>
      <c r="K99" s="18" t="s">
        <v>628</v>
      </c>
      <c r="L99" s="105">
        <f t="shared" si="23"/>
        <v>0.8988425925925938</v>
      </c>
      <c r="M99" s="105">
        <f t="shared" si="24"/>
        <v>0.90509259259259378</v>
      </c>
      <c r="N99" s="38"/>
      <c r="O99" s="38" t="s">
        <v>256</v>
      </c>
      <c r="P99" s="38" t="s">
        <v>256</v>
      </c>
      <c r="Q99" s="38" t="s">
        <v>256</v>
      </c>
      <c r="R99" s="38"/>
      <c r="S99"/>
      <c r="T99" s="4"/>
      <c r="U99" s="4"/>
    </row>
    <row r="100" spans="1:21" s="5" customFormat="1" x14ac:dyDescent="0.2">
      <c r="A100" s="48" t="s">
        <v>279</v>
      </c>
      <c r="B100" s="52">
        <f t="shared" si="26"/>
        <v>0.10856481481481595</v>
      </c>
      <c r="C100" s="52">
        <f>'[1]Day 3-F'!$C$75</f>
        <v>0.90509259259259378</v>
      </c>
      <c r="D100" s="50">
        <f>E100-C100</f>
        <v>1.0416666666667185E-3</v>
      </c>
      <c r="E100" s="52">
        <f t="shared" si="27"/>
        <v>0.9061342592592605</v>
      </c>
      <c r="F100" s="18" t="s">
        <v>357</v>
      </c>
      <c r="G100" s="18" t="s">
        <v>269</v>
      </c>
      <c r="H100" s="18"/>
      <c r="I100" s="18" t="s">
        <v>254</v>
      </c>
      <c r="J100" s="18" t="s">
        <v>587</v>
      </c>
      <c r="K100" s="37"/>
      <c r="L100" s="105">
        <f t="shared" si="23"/>
        <v>0.90509259259259378</v>
      </c>
      <c r="M100" s="105">
        <f t="shared" si="24"/>
        <v>0.9061342592592605</v>
      </c>
      <c r="N100" s="38"/>
      <c r="O100" s="38" t="s">
        <v>256</v>
      </c>
      <c r="P100" s="38" t="s">
        <v>256</v>
      </c>
      <c r="Q100" s="38" t="s">
        <v>256</v>
      </c>
      <c r="R100" s="38"/>
      <c r="S100"/>
      <c r="T100" s="4"/>
      <c r="U100" s="4"/>
    </row>
    <row r="101" spans="1:21" x14ac:dyDescent="0.2">
      <c r="A101" s="93" t="s">
        <v>279</v>
      </c>
      <c r="B101" s="52">
        <f>C101-$C$79</f>
        <v>0.10578703703703818</v>
      </c>
      <c r="C101" s="94">
        <f>'[1]Day 3-F'!$C$76</f>
        <v>0.9061342592592605</v>
      </c>
      <c r="D101" s="50"/>
      <c r="E101" s="94"/>
      <c r="F101" s="20" t="s">
        <v>358</v>
      </c>
      <c r="G101" s="18"/>
      <c r="H101" s="18"/>
      <c r="I101" s="18" t="s">
        <v>254</v>
      </c>
      <c r="J101" s="18" t="s">
        <v>587</v>
      </c>
      <c r="K101" s="37"/>
      <c r="L101" s="105">
        <f t="shared" si="23"/>
        <v>0.9061342592592605</v>
      </c>
      <c r="M101" s="105"/>
      <c r="N101" s="38"/>
      <c r="O101" s="38" t="s">
        <v>256</v>
      </c>
      <c r="P101" s="38" t="s">
        <v>256</v>
      </c>
      <c r="Q101" s="38" t="s">
        <v>256</v>
      </c>
      <c r="R101" s="38" t="s">
        <v>256</v>
      </c>
      <c r="T101" s="4"/>
      <c r="U101" s="4"/>
    </row>
    <row r="102" spans="1:21" s="74" customFormat="1" x14ac:dyDescent="0.2">
      <c r="A102" s="80"/>
      <c r="B102" s="80"/>
      <c r="C102" s="64">
        <v>0.90625</v>
      </c>
      <c r="D102" s="80"/>
      <c r="E102" s="64"/>
      <c r="F102" s="33" t="s">
        <v>62</v>
      </c>
      <c r="G102" s="81"/>
      <c r="H102" s="81"/>
      <c r="I102" s="81" t="s">
        <v>254</v>
      </c>
      <c r="J102" s="81" t="s">
        <v>587</v>
      </c>
      <c r="K102" s="81"/>
      <c r="L102" s="109">
        <f t="shared" si="23"/>
        <v>0.90625</v>
      </c>
      <c r="M102" s="109"/>
      <c r="N102" s="80"/>
      <c r="O102" s="80" t="s">
        <v>256</v>
      </c>
      <c r="P102" s="80" t="s">
        <v>256</v>
      </c>
      <c r="Q102" s="80" t="s">
        <v>256</v>
      </c>
      <c r="R102" s="80" t="s">
        <v>256</v>
      </c>
      <c r="S102" s="1"/>
      <c r="T102" s="73"/>
      <c r="U102" s="73"/>
    </row>
    <row r="103" spans="1:21" s="5" customFormat="1" x14ac:dyDescent="0.2">
      <c r="A103" s="48" t="s">
        <v>279</v>
      </c>
      <c r="B103" s="52">
        <f>C102-$C$77</f>
        <v>0.10972222222222217</v>
      </c>
      <c r="C103" s="52">
        <f>$C$102+TIME(0,0,0)</f>
        <v>0.90625</v>
      </c>
      <c r="D103" s="50">
        <f t="shared" si="25"/>
        <v>4.166666666666663E-2</v>
      </c>
      <c r="E103" s="52">
        <f>$C$102+TIME(1,0,0)</f>
        <v>0.94791666666666663</v>
      </c>
      <c r="F103" s="47" t="s">
        <v>359</v>
      </c>
      <c r="G103" s="18" t="s">
        <v>264</v>
      </c>
      <c r="H103" s="18" t="s">
        <v>529</v>
      </c>
      <c r="I103" s="18" t="s">
        <v>254</v>
      </c>
      <c r="J103" s="37"/>
      <c r="K103" s="37"/>
      <c r="L103" s="37"/>
      <c r="M103" s="37"/>
      <c r="N103" s="38"/>
      <c r="O103" s="38"/>
      <c r="P103" s="38"/>
      <c r="Q103" s="38"/>
      <c r="R103" s="38" t="s">
        <v>256</v>
      </c>
      <c r="S103"/>
      <c r="T103" s="4"/>
      <c r="U103" s="4"/>
    </row>
    <row r="104" spans="1:21" s="5" customFormat="1" x14ac:dyDescent="0.2">
      <c r="A104" s="48" t="s">
        <v>279</v>
      </c>
      <c r="B104" s="52">
        <f t="shared" ref="B104:B107" si="28">C103-$C$77</f>
        <v>0.10972222222222217</v>
      </c>
      <c r="C104" s="52">
        <v>0.91666666666666663</v>
      </c>
      <c r="D104" s="48"/>
      <c r="E104" s="52"/>
      <c r="F104" s="47" t="s">
        <v>65</v>
      </c>
      <c r="G104" s="18" t="s">
        <v>271</v>
      </c>
      <c r="H104" s="18" t="s">
        <v>530</v>
      </c>
      <c r="I104" s="18" t="s">
        <v>254</v>
      </c>
      <c r="J104" s="37"/>
      <c r="K104" s="37"/>
      <c r="L104" s="37"/>
      <c r="M104" s="37"/>
      <c r="N104" s="38"/>
      <c r="O104" s="38"/>
      <c r="P104" s="38"/>
      <c r="Q104" s="38"/>
      <c r="R104" s="38" t="s">
        <v>256</v>
      </c>
      <c r="S104"/>
      <c r="T104" s="4"/>
      <c r="U104" s="4"/>
    </row>
    <row r="105" spans="1:21" s="5" customFormat="1" x14ac:dyDescent="0.2">
      <c r="A105" s="48" t="s">
        <v>279</v>
      </c>
      <c r="B105" s="52">
        <f t="shared" si="28"/>
        <v>0.1201388888888888</v>
      </c>
      <c r="C105" s="52">
        <v>0.9375</v>
      </c>
      <c r="D105" s="48"/>
      <c r="E105" s="52"/>
      <c r="F105" s="62" t="s">
        <v>411</v>
      </c>
      <c r="G105" s="18" t="s">
        <v>261</v>
      </c>
      <c r="H105" s="18" t="s">
        <v>528</v>
      </c>
      <c r="I105" s="18" t="s">
        <v>254</v>
      </c>
      <c r="J105" s="37"/>
      <c r="K105" s="37"/>
      <c r="L105" s="37"/>
      <c r="M105" s="37"/>
      <c r="N105" s="38"/>
      <c r="O105" s="38"/>
      <c r="P105" s="38"/>
      <c r="Q105" s="38"/>
      <c r="R105" s="38" t="s">
        <v>256</v>
      </c>
      <c r="S105"/>
      <c r="T105" s="4"/>
      <c r="U105" s="4"/>
    </row>
    <row r="106" spans="1:21" s="5" customFormat="1" x14ac:dyDescent="0.2">
      <c r="A106" s="48" t="s">
        <v>279</v>
      </c>
      <c r="B106" s="52">
        <f t="shared" si="28"/>
        <v>0.14097222222222217</v>
      </c>
      <c r="C106" s="52">
        <f>$C$102+TIME(0,45,0)</f>
        <v>0.9375</v>
      </c>
      <c r="D106" s="48"/>
      <c r="E106" s="52"/>
      <c r="F106" s="18" t="s">
        <v>362</v>
      </c>
      <c r="G106" s="18" t="s">
        <v>271</v>
      </c>
      <c r="H106" s="18" t="s">
        <v>530</v>
      </c>
      <c r="I106" s="18" t="s">
        <v>254</v>
      </c>
      <c r="J106" s="37"/>
      <c r="K106" s="37"/>
      <c r="L106" s="37"/>
      <c r="M106" s="37"/>
      <c r="N106" s="38"/>
      <c r="O106" s="38"/>
      <c r="P106" s="38"/>
      <c r="Q106" s="38"/>
      <c r="R106" s="38" t="s">
        <v>256</v>
      </c>
      <c r="S106"/>
      <c r="T106" s="4"/>
      <c r="U106" s="4"/>
    </row>
    <row r="107" spans="1:21" s="5" customFormat="1" x14ac:dyDescent="0.2">
      <c r="A107" s="48" t="s">
        <v>279</v>
      </c>
      <c r="B107" s="52">
        <f t="shared" si="28"/>
        <v>0.14097222222222217</v>
      </c>
      <c r="C107" s="52">
        <f>$C$102+TIME(1,20,0)</f>
        <v>0.96180555555555558</v>
      </c>
      <c r="D107" s="48"/>
      <c r="E107" s="52"/>
      <c r="F107" s="47" t="s">
        <v>412</v>
      </c>
      <c r="G107" s="18"/>
      <c r="H107" s="18"/>
      <c r="I107" s="18" t="s">
        <v>254</v>
      </c>
      <c r="J107" s="37"/>
      <c r="K107" s="37"/>
      <c r="L107" s="37"/>
      <c r="M107" s="37"/>
      <c r="N107" s="38"/>
      <c r="O107" s="38"/>
      <c r="P107" s="38"/>
      <c r="Q107" s="38"/>
      <c r="R107" s="38"/>
      <c r="S107"/>
      <c r="T107" s="4"/>
      <c r="U107" s="4"/>
    </row>
    <row r="108" spans="1:21" s="5" customFormat="1" x14ac:dyDescent="0.2">
      <c r="A108" s="48" t="s">
        <v>279</v>
      </c>
      <c r="B108" s="52">
        <f>C107-$C$77</f>
        <v>0.16527777777777775</v>
      </c>
      <c r="C108" s="52">
        <f>$C$102+TIME(1,30,0)</f>
        <v>0.96875</v>
      </c>
      <c r="D108" s="48"/>
      <c r="E108" s="52"/>
      <c r="F108" s="20" t="s">
        <v>67</v>
      </c>
      <c r="G108" s="18"/>
      <c r="H108" s="18"/>
      <c r="I108" s="18" t="s">
        <v>254</v>
      </c>
      <c r="J108" s="37"/>
      <c r="K108" s="37"/>
      <c r="L108" s="37"/>
      <c r="M108" s="37"/>
      <c r="N108" s="38"/>
      <c r="O108" s="38"/>
      <c r="P108" s="38"/>
      <c r="Q108" s="38"/>
      <c r="R108" s="38" t="s">
        <v>256</v>
      </c>
      <c r="S108"/>
      <c r="T108" s="4"/>
      <c r="U108" s="4"/>
    </row>
    <row r="109" spans="1:21" s="5" customFormat="1" x14ac:dyDescent="0.2">
      <c r="A109" s="48" t="s">
        <v>279</v>
      </c>
      <c r="B109" s="52">
        <f t="shared" ref="B109" si="29">C108-$C$77</f>
        <v>0.17222222222222217</v>
      </c>
      <c r="C109" s="52">
        <v>0.98958333333333337</v>
      </c>
      <c r="D109" s="48"/>
      <c r="E109" s="52"/>
      <c r="F109" s="47" t="s">
        <v>361</v>
      </c>
      <c r="G109" s="18"/>
      <c r="H109" s="18"/>
      <c r="I109" s="18" t="s">
        <v>254</v>
      </c>
      <c r="J109" s="37"/>
      <c r="K109" s="37"/>
      <c r="L109" s="37"/>
      <c r="M109" s="37"/>
      <c r="N109" s="38"/>
      <c r="O109" s="38"/>
      <c r="P109" s="38"/>
      <c r="Q109" s="38"/>
      <c r="R109" s="38"/>
      <c r="S109"/>
      <c r="T109" s="4"/>
      <c r="U109" s="4"/>
    </row>
    <row r="110" spans="1:21" s="5" customFormat="1" x14ac:dyDescent="0.2">
      <c r="A110" s="48" t="s">
        <v>279</v>
      </c>
      <c r="B110" s="52">
        <f>C109-$C$77</f>
        <v>0.19305555555555554</v>
      </c>
      <c r="C110" s="98">
        <v>0</v>
      </c>
      <c r="D110" s="48"/>
      <c r="E110" s="52"/>
      <c r="F110" s="47" t="s">
        <v>413</v>
      </c>
      <c r="G110" s="18"/>
      <c r="H110" s="18"/>
      <c r="I110" s="18" t="s">
        <v>254</v>
      </c>
      <c r="J110" s="37"/>
      <c r="K110" s="37"/>
      <c r="L110" s="37"/>
      <c r="M110" s="37"/>
      <c r="N110" s="38"/>
      <c r="O110" s="38"/>
      <c r="P110" s="38"/>
      <c r="Q110" s="38"/>
      <c r="R110" s="38"/>
      <c r="S110"/>
      <c r="T110" s="4"/>
      <c r="U110" s="4"/>
    </row>
    <row r="111" spans="1:21" s="5" customFormat="1" x14ac:dyDescent="0.2">
      <c r="A111" s="48" t="s">
        <v>279</v>
      </c>
      <c r="B111" s="52">
        <f>MOD(C110-$C$77,1)</f>
        <v>0.20347222222222217</v>
      </c>
      <c r="C111" s="52">
        <v>1</v>
      </c>
      <c r="D111" s="48"/>
      <c r="E111" s="52"/>
      <c r="F111" s="18" t="s">
        <v>414</v>
      </c>
      <c r="G111" s="18"/>
      <c r="H111" s="18"/>
      <c r="I111" s="18" t="s">
        <v>254</v>
      </c>
      <c r="J111" s="37"/>
      <c r="K111" s="37"/>
      <c r="L111" s="37"/>
      <c r="M111" s="37"/>
      <c r="N111" s="38"/>
      <c r="O111" s="38"/>
      <c r="P111" s="38"/>
      <c r="Q111" s="38"/>
      <c r="R111" s="38" t="s">
        <v>256</v>
      </c>
      <c r="S111"/>
      <c r="T111" s="4"/>
      <c r="U111" s="4"/>
    </row>
    <row r="112" spans="1:21" s="5" customFormat="1" x14ac:dyDescent="0.2">
      <c r="A112" s="48" t="s">
        <v>279</v>
      </c>
      <c r="B112" s="52">
        <f>MOD(C111-$C$77,1)</f>
        <v>0.20347222222222217</v>
      </c>
      <c r="C112" s="52">
        <v>2.0833333333333332E-2</v>
      </c>
      <c r="D112" s="48"/>
      <c r="E112" s="52"/>
      <c r="F112" s="18" t="s">
        <v>415</v>
      </c>
      <c r="G112" s="18"/>
      <c r="H112" s="18"/>
      <c r="I112" s="18" t="s">
        <v>254</v>
      </c>
      <c r="J112" s="37"/>
      <c r="K112" s="37"/>
      <c r="L112" s="37"/>
      <c r="M112" s="37"/>
      <c r="N112" s="38"/>
      <c r="O112" s="38"/>
      <c r="P112" s="38"/>
      <c r="Q112" s="38"/>
      <c r="R112" s="38" t="s">
        <v>256</v>
      </c>
      <c r="S112"/>
      <c r="T112" s="4"/>
      <c r="U112" s="4"/>
    </row>
    <row r="113" spans="1:21" s="5" customFormat="1" x14ac:dyDescent="0.2">
      <c r="A113" s="2"/>
      <c r="B113" s="2"/>
      <c r="C113" s="56"/>
      <c r="D113" s="2"/>
      <c r="E113" s="56"/>
      <c r="F113"/>
      <c r="G113"/>
      <c r="H113"/>
      <c r="I113"/>
      <c r="J113"/>
      <c r="K113"/>
      <c r="L113"/>
      <c r="M113"/>
      <c r="N113" s="2"/>
      <c r="O113" s="2"/>
      <c r="P113" s="2"/>
      <c r="Q113" s="2"/>
      <c r="R113" s="2"/>
      <c r="S113"/>
      <c r="T113" s="4"/>
      <c r="U113" s="4"/>
    </row>
    <row r="114" spans="1:21" s="5" customFormat="1" x14ac:dyDescent="0.2">
      <c r="A114" s="2"/>
      <c r="B114" s="2"/>
      <c r="C114" s="56"/>
      <c r="D114" s="2"/>
      <c r="E114" s="56"/>
      <c r="F114"/>
      <c r="G114"/>
      <c r="H114"/>
      <c r="I114"/>
      <c r="J114"/>
      <c r="K114"/>
      <c r="L114"/>
      <c r="M114"/>
      <c r="N114" s="2"/>
      <c r="O114" s="2"/>
      <c r="P114" s="2"/>
      <c r="Q114" s="2"/>
      <c r="R114" s="2"/>
      <c r="S114"/>
      <c r="T114" s="4"/>
      <c r="U114" s="4"/>
    </row>
    <row r="115" spans="1:21" s="5" customFormat="1" x14ac:dyDescent="0.2">
      <c r="A115" s="2"/>
      <c r="B115" s="2"/>
      <c r="C115" s="56"/>
      <c r="D115" s="2"/>
      <c r="E115" s="56"/>
      <c r="F115"/>
      <c r="G115"/>
      <c r="H115"/>
      <c r="I115"/>
      <c r="J115"/>
      <c r="K115"/>
      <c r="L115"/>
      <c r="M115"/>
      <c r="N115" s="2"/>
      <c r="O115" s="2"/>
      <c r="P115" s="2"/>
      <c r="Q115" s="2"/>
      <c r="R115" s="2"/>
      <c r="S115"/>
      <c r="T115" s="4"/>
      <c r="U115" s="4"/>
    </row>
    <row r="116" spans="1:21" s="5" customFormat="1" x14ac:dyDescent="0.2">
      <c r="A116" s="2"/>
      <c r="B116" s="2"/>
      <c r="C116" s="56"/>
      <c r="D116" s="2"/>
      <c r="E116" s="56"/>
      <c r="F116"/>
      <c r="G116"/>
      <c r="H116"/>
      <c r="I116"/>
      <c r="J116"/>
      <c r="K116"/>
      <c r="L116"/>
      <c r="M116"/>
      <c r="N116" s="2"/>
      <c r="O116" s="2"/>
      <c r="P116" s="2"/>
      <c r="Q116" s="2"/>
      <c r="R116" s="2"/>
      <c r="S116"/>
      <c r="T116" s="4"/>
      <c r="U116" s="4"/>
    </row>
    <row r="117" spans="1:21" s="5" customFormat="1" x14ac:dyDescent="0.2">
      <c r="A117" s="2"/>
      <c r="B117" s="2"/>
      <c r="C117" s="56"/>
      <c r="D117" s="2"/>
      <c r="E117" s="56"/>
      <c r="F117"/>
      <c r="G117"/>
      <c r="H117"/>
      <c r="I117"/>
      <c r="J117"/>
      <c r="K117"/>
      <c r="L117"/>
      <c r="M117"/>
      <c r="N117" s="2"/>
      <c r="O117" s="2"/>
      <c r="P117" s="2"/>
      <c r="Q117" s="2"/>
      <c r="R117" s="2"/>
      <c r="S117"/>
      <c r="T117" s="4"/>
      <c r="U117" s="4"/>
    </row>
    <row r="118" spans="1:21" s="5" customFormat="1" x14ac:dyDescent="0.2">
      <c r="A118" s="2"/>
      <c r="B118" s="68"/>
      <c r="C118" s="67"/>
      <c r="D118" s="68"/>
      <c r="E118" s="67"/>
      <c r="F118"/>
      <c r="G118"/>
      <c r="H118"/>
      <c r="I118"/>
      <c r="J118"/>
      <c r="K118"/>
      <c r="L118"/>
      <c r="M118"/>
      <c r="N118" s="2"/>
      <c r="O118" s="2"/>
      <c r="P118" s="2"/>
      <c r="Q118" s="2"/>
      <c r="R118" s="2"/>
      <c r="S118"/>
      <c r="T118" s="4"/>
      <c r="U118" s="4"/>
    </row>
    <row r="119" spans="1:21" s="5" customFormat="1" x14ac:dyDescent="0.2">
      <c r="A119" s="2"/>
      <c r="B119" s="68"/>
      <c r="C119" s="67"/>
      <c r="D119" s="68"/>
      <c r="E119" s="67"/>
      <c r="F119"/>
      <c r="G119"/>
      <c r="H119"/>
      <c r="I119"/>
      <c r="J119"/>
      <c r="K119"/>
      <c r="L119"/>
      <c r="M119"/>
      <c r="N119" s="2"/>
      <c r="O119" s="2"/>
      <c r="P119" s="2"/>
      <c r="Q119" s="2"/>
      <c r="R119" s="2"/>
      <c r="S119"/>
      <c r="T119" s="4"/>
      <c r="U119" s="4"/>
    </row>
    <row r="120" spans="1:21" s="5" customFormat="1" x14ac:dyDescent="0.2">
      <c r="A120" s="2"/>
      <c r="B120" s="68"/>
      <c r="C120" s="67"/>
      <c r="D120" s="68"/>
      <c r="E120" s="67"/>
      <c r="F120"/>
      <c r="G120"/>
      <c r="H120"/>
      <c r="I120"/>
      <c r="J120"/>
      <c r="K120"/>
      <c r="L120"/>
      <c r="M120"/>
      <c r="N120" s="2"/>
      <c r="O120" s="2"/>
      <c r="P120" s="2"/>
      <c r="Q120" s="2"/>
      <c r="R120" s="2"/>
      <c r="S120"/>
      <c r="T120" s="4"/>
      <c r="U120" s="4"/>
    </row>
    <row r="121" spans="1:21" s="5" customFormat="1" x14ac:dyDescent="0.2">
      <c r="A121" s="2"/>
      <c r="B121" s="68"/>
      <c r="C121" s="67"/>
      <c r="D121" s="68"/>
      <c r="E121" s="67"/>
      <c r="F121"/>
      <c r="G121"/>
      <c r="H121"/>
      <c r="I121"/>
      <c r="J121"/>
      <c r="K121"/>
      <c r="L121"/>
      <c r="M121"/>
      <c r="N121" s="2"/>
      <c r="O121" s="2"/>
      <c r="P121" s="2"/>
      <c r="Q121" s="2"/>
      <c r="R121" s="2"/>
      <c r="S121"/>
      <c r="T121" s="4"/>
      <c r="U121" s="4"/>
    </row>
    <row r="122" spans="1:21" s="5" customFormat="1" x14ac:dyDescent="0.2">
      <c r="A122" s="2"/>
      <c r="B122" s="68"/>
      <c r="C122" s="67"/>
      <c r="D122" s="68"/>
      <c r="E122" s="67"/>
      <c r="F122"/>
      <c r="G122"/>
      <c r="H122"/>
      <c r="I122"/>
      <c r="J122"/>
      <c r="K122"/>
      <c r="L122"/>
      <c r="M122"/>
      <c r="N122" s="2"/>
      <c r="O122" s="2"/>
      <c r="P122" s="2"/>
      <c r="Q122" s="2"/>
      <c r="R122" s="2"/>
      <c r="S122"/>
      <c r="T122" s="4"/>
      <c r="U122" s="4"/>
    </row>
    <row r="123" spans="1:21" s="5" customFormat="1" x14ac:dyDescent="0.2">
      <c r="A123" s="2"/>
      <c r="B123" s="68"/>
      <c r="C123" s="67"/>
      <c r="D123" s="68"/>
      <c r="E123" s="67"/>
      <c r="F123"/>
      <c r="G123"/>
      <c r="H123"/>
      <c r="I123"/>
      <c r="J123"/>
      <c r="K123"/>
      <c r="L123"/>
      <c r="M123"/>
      <c r="N123" s="2"/>
      <c r="O123" s="2"/>
      <c r="P123" s="2"/>
      <c r="Q123" s="2"/>
      <c r="R123" s="2"/>
      <c r="S123"/>
      <c r="T123" s="4"/>
      <c r="U123" s="4"/>
    </row>
    <row r="124" spans="1:21" s="5" customFormat="1" x14ac:dyDescent="0.2">
      <c r="A124" s="2"/>
      <c r="B124" s="2"/>
      <c r="C124" s="56"/>
      <c r="D124" s="2"/>
      <c r="E124" s="56"/>
      <c r="F124"/>
      <c r="G124"/>
      <c r="H124"/>
      <c r="I124"/>
      <c r="J124"/>
      <c r="K124"/>
      <c r="L124"/>
      <c r="M124"/>
      <c r="N124" s="2"/>
      <c r="O124" s="2"/>
      <c r="P124" s="2"/>
      <c r="Q124" s="2"/>
      <c r="R124" s="2"/>
      <c r="S124"/>
      <c r="T124" s="4"/>
      <c r="U124" s="4"/>
    </row>
    <row r="125" spans="1:21" s="5" customFormat="1" x14ac:dyDescent="0.2">
      <c r="A125" s="2"/>
      <c r="B125" s="2"/>
      <c r="C125" s="56"/>
      <c r="D125" s="2"/>
      <c r="E125" s="56"/>
      <c r="F125"/>
      <c r="G125"/>
      <c r="H125"/>
      <c r="I125"/>
      <c r="J125"/>
      <c r="K125"/>
      <c r="L125"/>
      <c r="M125"/>
      <c r="N125" s="2"/>
      <c r="O125" s="2"/>
      <c r="P125" s="2"/>
      <c r="Q125" s="2"/>
      <c r="R125" s="2"/>
      <c r="S125"/>
      <c r="T125" s="4"/>
      <c r="U125" s="4"/>
    </row>
    <row r="126" spans="1:21" s="5" customFormat="1" x14ac:dyDescent="0.2">
      <c r="A126" s="2"/>
      <c r="B126" s="2"/>
      <c r="C126" s="56"/>
      <c r="D126" s="2"/>
      <c r="E126" s="56"/>
      <c r="F126"/>
      <c r="G126"/>
      <c r="H126"/>
      <c r="I126"/>
      <c r="J126"/>
      <c r="K126"/>
      <c r="L126"/>
      <c r="M126"/>
      <c r="N126" s="2"/>
      <c r="O126" s="2"/>
      <c r="P126" s="2"/>
      <c r="Q126" s="2"/>
      <c r="R126" s="2"/>
      <c r="S126"/>
      <c r="T126" s="4"/>
      <c r="U126" s="4"/>
    </row>
    <row r="127" spans="1:21" s="5" customFormat="1" x14ac:dyDescent="0.2">
      <c r="A127" s="2"/>
      <c r="B127" s="2"/>
      <c r="C127" s="56"/>
      <c r="D127" s="2"/>
      <c r="E127" s="56"/>
      <c r="F127"/>
      <c r="G127"/>
      <c r="H127"/>
      <c r="I127"/>
      <c r="J127"/>
      <c r="K127"/>
      <c r="L127"/>
      <c r="M127"/>
      <c r="N127" s="2"/>
      <c r="O127" s="2"/>
      <c r="P127" s="2"/>
      <c r="Q127" s="2"/>
      <c r="R127" s="2"/>
      <c r="S127"/>
      <c r="T127" s="4"/>
      <c r="U127" s="4"/>
    </row>
    <row r="128" spans="1:21" s="5" customFormat="1" x14ac:dyDescent="0.2">
      <c r="A128" s="2"/>
      <c r="B128" s="2"/>
      <c r="C128" s="56"/>
      <c r="D128" s="2"/>
      <c r="E128" s="56"/>
      <c r="F128"/>
      <c r="G128"/>
      <c r="H128"/>
      <c r="I128"/>
      <c r="J128"/>
      <c r="K128"/>
      <c r="L128"/>
      <c r="M128"/>
      <c r="N128" s="2"/>
      <c r="O128" s="2"/>
      <c r="P128" s="2"/>
      <c r="Q128" s="2"/>
      <c r="R128" s="2"/>
      <c r="S128"/>
      <c r="T128" s="4"/>
      <c r="U128" s="4"/>
    </row>
    <row r="129" spans="1:21" s="5" customFormat="1" x14ac:dyDescent="0.2">
      <c r="A129" s="2"/>
      <c r="B129" s="2"/>
      <c r="C129" s="56"/>
      <c r="D129" s="2"/>
      <c r="E129" s="56"/>
      <c r="F129"/>
      <c r="G129"/>
      <c r="H129"/>
      <c r="I129"/>
      <c r="J129"/>
      <c r="K129"/>
      <c r="L129"/>
      <c r="M129"/>
      <c r="N129" s="2"/>
      <c r="O129" s="2"/>
      <c r="P129" s="2"/>
      <c r="Q129" s="2"/>
      <c r="R129" s="2"/>
      <c r="S129"/>
      <c r="T129" s="4"/>
      <c r="U129" s="4"/>
    </row>
    <row r="130" spans="1:21" s="5" customFormat="1" x14ac:dyDescent="0.2">
      <c r="A130" s="2"/>
      <c r="B130" s="2"/>
      <c r="C130" s="56"/>
      <c r="D130" s="2"/>
      <c r="E130" s="56"/>
      <c r="F130"/>
      <c r="G130"/>
      <c r="H130"/>
      <c r="I130"/>
      <c r="J130"/>
      <c r="K130"/>
      <c r="L130"/>
      <c r="M130"/>
      <c r="N130" s="2"/>
      <c r="O130" s="2"/>
      <c r="P130" s="2"/>
      <c r="Q130" s="2"/>
      <c r="R130" s="2"/>
      <c r="S130"/>
      <c r="T130" s="4"/>
      <c r="U130" s="4"/>
    </row>
    <row r="131" spans="1:21" s="5" customFormat="1" x14ac:dyDescent="0.2">
      <c r="A131" s="2"/>
      <c r="B131" s="2"/>
      <c r="C131" s="56"/>
      <c r="D131" s="2"/>
      <c r="E131" s="56"/>
      <c r="F131"/>
      <c r="G131"/>
      <c r="H131"/>
      <c r="I131"/>
      <c r="J131"/>
      <c r="K131"/>
      <c r="L131"/>
      <c r="M131"/>
      <c r="N131" s="2"/>
      <c r="O131" s="2"/>
      <c r="P131" s="2"/>
      <c r="Q131" s="2"/>
      <c r="R131" s="2"/>
      <c r="S131"/>
      <c r="T131" s="4"/>
      <c r="U131" s="4"/>
    </row>
    <row r="132" spans="1:21" s="5" customFormat="1" x14ac:dyDescent="0.2">
      <c r="A132" s="2"/>
      <c r="B132" s="2"/>
      <c r="C132" s="56"/>
      <c r="D132" s="2"/>
      <c r="E132" s="56"/>
      <c r="F132"/>
      <c r="G132"/>
      <c r="H132"/>
      <c r="I132"/>
      <c r="J132"/>
      <c r="K132"/>
      <c r="L132"/>
      <c r="M132"/>
      <c r="N132" s="2"/>
      <c r="O132" s="2"/>
      <c r="P132" s="2"/>
      <c r="Q132" s="2"/>
      <c r="R132" s="2"/>
      <c r="S132"/>
      <c r="T132" s="4"/>
      <c r="U132" s="4"/>
    </row>
    <row r="133" spans="1:21" s="5" customFormat="1" x14ac:dyDescent="0.2">
      <c r="A133" s="2"/>
      <c r="B133" s="2"/>
      <c r="C133" s="56"/>
      <c r="D133" s="2"/>
      <c r="E133" s="56"/>
      <c r="F133"/>
      <c r="G133"/>
      <c r="H133"/>
      <c r="I133"/>
      <c r="J133"/>
      <c r="K133"/>
      <c r="L133"/>
      <c r="M133"/>
      <c r="N133" s="2"/>
      <c r="O133" s="2"/>
      <c r="P133" s="2"/>
      <c r="Q133" s="2"/>
      <c r="R133" s="2"/>
      <c r="S133"/>
      <c r="T133" s="4"/>
      <c r="U133" s="4"/>
    </row>
    <row r="134" spans="1:21" s="5" customFormat="1" x14ac:dyDescent="0.2">
      <c r="A134" s="2"/>
      <c r="B134" s="2"/>
      <c r="C134" s="56"/>
      <c r="D134" s="2"/>
      <c r="E134" s="56"/>
      <c r="F134"/>
      <c r="G134"/>
      <c r="H134"/>
      <c r="I134"/>
      <c r="J134"/>
      <c r="K134"/>
      <c r="L134"/>
      <c r="M134"/>
      <c r="N134" s="2"/>
      <c r="O134" s="2"/>
      <c r="P134" s="2"/>
      <c r="Q134" s="2"/>
      <c r="R134" s="2"/>
      <c r="S134"/>
      <c r="T134" s="4"/>
      <c r="U134" s="4"/>
    </row>
    <row r="135" spans="1:21" s="5" customFormat="1" x14ac:dyDescent="0.2">
      <c r="A135" s="2"/>
      <c r="B135" s="2"/>
      <c r="C135" s="56"/>
      <c r="D135" s="2"/>
      <c r="E135" s="56"/>
      <c r="F135"/>
      <c r="G135"/>
      <c r="H135"/>
      <c r="I135"/>
      <c r="J135"/>
      <c r="K135"/>
      <c r="L135"/>
      <c r="M135"/>
      <c r="N135" s="2"/>
      <c r="O135" s="2"/>
      <c r="P135" s="2"/>
      <c r="Q135" s="2"/>
      <c r="R135" s="2"/>
      <c r="S135"/>
      <c r="T135" s="4"/>
      <c r="U135" s="4"/>
    </row>
    <row r="136" spans="1:21" s="5" customFormat="1" x14ac:dyDescent="0.2">
      <c r="A136" s="2"/>
      <c r="B136" s="2"/>
      <c r="C136" s="56"/>
      <c r="D136" s="2"/>
      <c r="E136" s="56"/>
      <c r="F136"/>
      <c r="G136"/>
      <c r="H136"/>
      <c r="I136"/>
      <c r="J136"/>
      <c r="K136"/>
      <c r="L136"/>
      <c r="M136"/>
      <c r="N136" s="2"/>
      <c r="O136" s="2"/>
      <c r="P136" s="2"/>
      <c r="Q136" s="2"/>
      <c r="R136" s="2"/>
      <c r="S136"/>
      <c r="T136" s="4"/>
      <c r="U136" s="4"/>
    </row>
    <row r="137" spans="1:21" s="5" customFormat="1" x14ac:dyDescent="0.2">
      <c r="A137" s="2"/>
      <c r="B137" s="2"/>
      <c r="C137" s="56"/>
      <c r="D137" s="2"/>
      <c r="E137" s="56"/>
      <c r="F137"/>
      <c r="G137"/>
      <c r="H137"/>
      <c r="I137"/>
      <c r="J137"/>
      <c r="K137"/>
      <c r="L137"/>
      <c r="M137"/>
      <c r="N137" s="2"/>
      <c r="O137" s="2"/>
      <c r="P137" s="2"/>
      <c r="Q137" s="2"/>
      <c r="R137" s="2"/>
      <c r="S137"/>
      <c r="T137" s="4"/>
      <c r="U137" s="4"/>
    </row>
    <row r="138" spans="1:21" s="5" customFormat="1" x14ac:dyDescent="0.2">
      <c r="A138" s="2"/>
      <c r="B138" s="2"/>
      <c r="C138" s="56"/>
      <c r="D138" s="2"/>
      <c r="E138" s="56"/>
      <c r="F138"/>
      <c r="G138"/>
      <c r="H138"/>
      <c r="I138"/>
      <c r="J138"/>
      <c r="K138"/>
      <c r="L138"/>
      <c r="M138"/>
      <c r="N138" s="2"/>
      <c r="O138" s="2"/>
      <c r="P138" s="2"/>
      <c r="Q138" s="2"/>
      <c r="R138" s="2"/>
      <c r="S138"/>
      <c r="T138" s="4"/>
      <c r="U138" s="4"/>
    </row>
    <row r="139" spans="1:21" s="5" customFormat="1" x14ac:dyDescent="0.2">
      <c r="A139" s="2"/>
      <c r="B139" s="2"/>
      <c r="C139" s="56"/>
      <c r="D139" s="2"/>
      <c r="E139" s="56"/>
      <c r="F139"/>
      <c r="G139"/>
      <c r="H139"/>
      <c r="I139"/>
      <c r="J139"/>
      <c r="K139"/>
      <c r="L139"/>
      <c r="M139"/>
      <c r="N139" s="2"/>
      <c r="O139" s="2"/>
      <c r="P139" s="2"/>
      <c r="Q139" s="2"/>
      <c r="R139" s="2"/>
      <c r="S139"/>
      <c r="T139" s="4"/>
      <c r="U139" s="4"/>
    </row>
    <row r="140" spans="1:21" s="5" customFormat="1" x14ac:dyDescent="0.2">
      <c r="A140" s="2"/>
      <c r="B140" s="2"/>
      <c r="C140" s="56"/>
      <c r="D140" s="2"/>
      <c r="E140" s="56"/>
      <c r="F140"/>
      <c r="G140"/>
      <c r="H140"/>
      <c r="I140"/>
      <c r="J140"/>
      <c r="K140"/>
      <c r="L140"/>
      <c r="M140"/>
      <c r="N140" s="2"/>
      <c r="O140" s="2"/>
      <c r="P140" s="2"/>
      <c r="Q140" s="2"/>
      <c r="R140" s="2"/>
      <c r="S140"/>
      <c r="T140" s="4"/>
      <c r="U140" s="4"/>
    </row>
    <row r="141" spans="1:21" s="5" customFormat="1" x14ac:dyDescent="0.2">
      <c r="A141" s="2"/>
      <c r="B141" s="2"/>
      <c r="C141" s="56"/>
      <c r="D141" s="2"/>
      <c r="E141" s="56"/>
      <c r="F141"/>
      <c r="G141"/>
      <c r="H141"/>
      <c r="I141"/>
      <c r="J141"/>
      <c r="K141"/>
      <c r="L141"/>
      <c r="M141"/>
      <c r="N141" s="2"/>
      <c r="O141" s="2"/>
      <c r="P141" s="2"/>
      <c r="Q141" s="2"/>
      <c r="R141" s="2"/>
      <c r="S141"/>
      <c r="T141" s="4"/>
      <c r="U141" s="4"/>
    </row>
    <row r="142" spans="1:21" s="5" customFormat="1" x14ac:dyDescent="0.2">
      <c r="A142" s="2"/>
      <c r="B142" s="2"/>
      <c r="C142" s="56"/>
      <c r="D142" s="2"/>
      <c r="E142" s="56"/>
      <c r="F142"/>
      <c r="G142"/>
      <c r="H142"/>
      <c r="I142"/>
      <c r="J142"/>
      <c r="K142"/>
      <c r="L142"/>
      <c r="M142"/>
      <c r="N142" s="2"/>
      <c r="O142" s="2"/>
      <c r="P142" s="2"/>
      <c r="Q142" s="2"/>
      <c r="R142" s="2"/>
      <c r="S142"/>
      <c r="T142" s="4"/>
      <c r="U142" s="4"/>
    </row>
    <row r="143" spans="1:21" s="5" customFormat="1" x14ac:dyDescent="0.2">
      <c r="A143" s="2"/>
      <c r="B143" s="2"/>
      <c r="C143" s="56"/>
      <c r="D143" s="2"/>
      <c r="E143" s="56"/>
      <c r="F143"/>
      <c r="G143"/>
      <c r="H143"/>
      <c r="I143"/>
      <c r="J143"/>
      <c r="K143"/>
      <c r="L143"/>
      <c r="M143"/>
      <c r="N143" s="2"/>
      <c r="O143" s="2"/>
      <c r="P143" s="2"/>
      <c r="Q143" s="2"/>
      <c r="R143" s="2"/>
      <c r="S143"/>
      <c r="T143" s="4"/>
      <c r="U143" s="4"/>
    </row>
  </sheetData>
  <sheetProtection algorithmName="SHA-512" hashValue="WJPUjnsZK8vKTCt14SU5GXvm3n60xoXNHpFsRUVa3buDAdGcKs4B0POjRDSEYqg90T85cGwV1eNEISVCEZBIJA==" saltValue="2EYTeataCa0jpYXZFblLgg==" spinCount="100000" sheet="1" selectLockedCells="1"/>
  <autoFilter ref="B3:R3" xr:uid="{7C6FC6D5-AAC8-4523-858D-0892689D2677}"/>
  <mergeCells count="9">
    <mergeCell ref="B1:R1"/>
    <mergeCell ref="A2:E2"/>
    <mergeCell ref="F2:F3"/>
    <mergeCell ref="G2:G3"/>
    <mergeCell ref="H2:H3"/>
    <mergeCell ref="I2:I3"/>
    <mergeCell ref="J2:J3"/>
    <mergeCell ref="K2:N2"/>
    <mergeCell ref="O2:R2"/>
  </mergeCells>
  <dataValidations count="1">
    <dataValidation type="list" allowBlank="1" showInputMessage="1" showErrorMessage="1" sqref="T3" xr:uid="{ED8BC8B7-8FB9-4AE4-BDDC-27D0E28B2256}">
      <formula1>"SCM,BRD,CER"</formula1>
    </dataValidation>
  </dataValidations>
  <pageMargins left="0.7" right="0.7" top="0.75" bottom="0.75" header="0.3" footer="0.3"/>
  <pageSetup paperSize="8" scale="62" fitToHeight="0" orientation="landscape" r:id="rId1"/>
  <headerFooter>
    <oddHeader>&amp;C&amp;"Calibri"&amp;10&amp;K000000 Official&amp;1#_x000D_</oddHeader>
    <oddFooter>&amp;C_x000D_&amp;1#&amp;"Calibri"&amp;10&amp;K000000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FCE6E-8265-4529-AD93-5DBF877CFE5C}">
  <sheetPr>
    <tabColor rgb="FF00B0F0"/>
    <pageSetUpPr fitToPage="1"/>
  </sheetPr>
  <dimension ref="A1:V148"/>
  <sheetViews>
    <sheetView topLeftCell="G1" zoomScale="70" zoomScaleNormal="70" workbookViewId="0">
      <selection activeCell="V31" sqref="V31"/>
    </sheetView>
  </sheetViews>
  <sheetFormatPr defaultColWidth="8.875" defaultRowHeight="14.25" x14ac:dyDescent="0.2"/>
  <cols>
    <col min="1" max="1" width="8.625" style="2" customWidth="1"/>
    <col min="2" max="2" width="9.625" style="2" customWidth="1"/>
    <col min="3" max="3" width="13.5" style="56" bestFit="1" customWidth="1"/>
    <col min="4" max="4" width="9.625" style="2" customWidth="1"/>
    <col min="5" max="5" width="9.625" style="56" customWidth="1"/>
    <col min="6" max="6" width="60.625" customWidth="1"/>
    <col min="7" max="7" width="11.125" bestFit="1" customWidth="1"/>
    <col min="8" max="8" width="12.125" bestFit="1" customWidth="1"/>
    <col min="9" max="9" width="8.125" customWidth="1"/>
    <col min="10" max="10" width="11.875" bestFit="1" customWidth="1"/>
    <col min="11" max="11" width="39.125" bestFit="1" customWidth="1"/>
    <col min="12" max="13" width="11.625" customWidth="1"/>
    <col min="14" max="14" width="11.625" style="2" customWidth="1"/>
    <col min="15" max="18" width="8.875" style="2"/>
    <col min="22" max="22" width="8.875" style="5"/>
    <col min="23" max="23" width="16.125" bestFit="1" customWidth="1"/>
    <col min="25" max="25" width="15.125" customWidth="1"/>
  </cols>
  <sheetData>
    <row r="1" spans="1:22" ht="18" x14ac:dyDescent="0.25">
      <c r="A1" s="38"/>
      <c r="B1" s="118" t="s">
        <v>629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V1" s="5" t="s">
        <v>417</v>
      </c>
    </row>
    <row r="2" spans="1:22" x14ac:dyDescent="0.2">
      <c r="A2" s="121" t="s">
        <v>250</v>
      </c>
      <c r="B2" s="121"/>
      <c r="C2" s="121"/>
      <c r="D2" s="121"/>
      <c r="E2" s="121"/>
      <c r="F2" s="119" t="s">
        <v>10</v>
      </c>
      <c r="G2" s="119" t="s">
        <v>11</v>
      </c>
      <c r="H2" s="119" t="s">
        <v>13</v>
      </c>
      <c r="I2" s="120" t="s">
        <v>15</v>
      </c>
      <c r="J2" s="119" t="s">
        <v>17</v>
      </c>
      <c r="K2" s="119" t="s">
        <v>26</v>
      </c>
      <c r="L2" s="119"/>
      <c r="M2" s="119"/>
      <c r="N2" s="119"/>
      <c r="O2" s="119" t="s">
        <v>34</v>
      </c>
      <c r="P2" s="119"/>
      <c r="Q2" s="119"/>
      <c r="R2" s="119"/>
    </row>
    <row r="3" spans="1:22" x14ac:dyDescent="0.2">
      <c r="A3" s="29" t="s">
        <v>0</v>
      </c>
      <c r="B3" s="29" t="s">
        <v>2</v>
      </c>
      <c r="C3" s="51" t="s">
        <v>4</v>
      </c>
      <c r="D3" s="29" t="s">
        <v>6</v>
      </c>
      <c r="E3" s="51" t="s">
        <v>8</v>
      </c>
      <c r="F3" s="119"/>
      <c r="G3" s="119"/>
      <c r="H3" s="119"/>
      <c r="I3" s="120"/>
      <c r="J3" s="119"/>
      <c r="K3" s="7" t="s">
        <v>27</v>
      </c>
      <c r="L3" s="7" t="s">
        <v>4</v>
      </c>
      <c r="M3" s="7" t="s">
        <v>30</v>
      </c>
      <c r="N3" s="28" t="s">
        <v>32</v>
      </c>
      <c r="O3" s="28" t="s">
        <v>35</v>
      </c>
      <c r="P3" s="28" t="s">
        <v>37</v>
      </c>
      <c r="Q3" s="28" t="s">
        <v>39</v>
      </c>
      <c r="R3" s="28" t="s">
        <v>41</v>
      </c>
      <c r="T3" s="3" t="s">
        <v>251</v>
      </c>
    </row>
    <row r="4" spans="1:22" ht="14.25" customHeight="1" x14ac:dyDescent="0.2">
      <c r="A4" s="48" t="s">
        <v>252</v>
      </c>
      <c r="B4" s="48"/>
      <c r="C4" s="52">
        <f>$C$26-TIME(5,30,0)</f>
        <v>0.20833333333333334</v>
      </c>
      <c r="D4" s="52"/>
      <c r="E4" s="52"/>
      <c r="F4" s="36" t="s">
        <v>253</v>
      </c>
      <c r="G4" s="18"/>
      <c r="H4" s="18"/>
      <c r="I4" s="18" t="s">
        <v>254</v>
      </c>
      <c r="J4" s="37"/>
      <c r="K4" s="37"/>
      <c r="L4" s="37"/>
      <c r="M4" s="37"/>
      <c r="N4" s="38"/>
      <c r="O4" s="38"/>
      <c r="P4" s="38"/>
      <c r="Q4" s="38"/>
      <c r="R4" s="38" t="s">
        <v>256</v>
      </c>
    </row>
    <row r="5" spans="1:22" ht="14.25" customHeight="1" x14ac:dyDescent="0.2">
      <c r="A5" s="48" t="s">
        <v>252</v>
      </c>
      <c r="B5" s="48"/>
      <c r="C5" s="52">
        <f>$C$26-TIME(5,15,0)</f>
        <v>0.21875</v>
      </c>
      <c r="D5" s="52">
        <f>E5-C5</f>
        <v>2.0833333333333343E-2</v>
      </c>
      <c r="E5" s="52">
        <v>0.23958333333333334</v>
      </c>
      <c r="F5" s="39" t="s">
        <v>257</v>
      </c>
      <c r="G5" s="18"/>
      <c r="H5" s="18"/>
      <c r="I5" s="18" t="s">
        <v>254</v>
      </c>
      <c r="J5" s="37"/>
      <c r="K5" s="37"/>
      <c r="L5" s="37"/>
      <c r="M5" s="37"/>
      <c r="N5" s="38"/>
      <c r="O5" s="38"/>
      <c r="P5" s="38"/>
      <c r="Q5" s="38"/>
      <c r="R5" s="38"/>
    </row>
    <row r="6" spans="1:22" x14ac:dyDescent="0.2">
      <c r="A6" s="48" t="s">
        <v>252</v>
      </c>
      <c r="B6" s="48"/>
      <c r="C6" s="52">
        <v>0.25</v>
      </c>
      <c r="D6" s="52">
        <f>E6-C6</f>
        <v>0.75</v>
      </c>
      <c r="E6" s="52">
        <v>1</v>
      </c>
      <c r="F6" s="36" t="s">
        <v>258</v>
      </c>
      <c r="G6" s="18"/>
      <c r="H6" s="18"/>
      <c r="I6" s="18" t="s">
        <v>254</v>
      </c>
      <c r="J6" s="37"/>
      <c r="K6" s="37"/>
      <c r="L6" s="37"/>
      <c r="M6" s="37"/>
      <c r="N6" s="38"/>
      <c r="O6" s="38"/>
      <c r="P6" s="38"/>
      <c r="Q6" s="38"/>
      <c r="R6" s="38" t="s">
        <v>256</v>
      </c>
      <c r="T6" s="4"/>
      <c r="U6" s="4"/>
      <c r="V6" s="6"/>
    </row>
    <row r="7" spans="1:22" x14ac:dyDescent="0.2">
      <c r="A7" s="48" t="s">
        <v>252</v>
      </c>
      <c r="B7" s="48"/>
      <c r="C7" s="52">
        <v>0.25694444444444448</v>
      </c>
      <c r="D7" s="52"/>
      <c r="E7" s="52"/>
      <c r="F7" s="18" t="s">
        <v>259</v>
      </c>
      <c r="G7" s="18"/>
      <c r="H7" s="18"/>
      <c r="I7" s="18" t="s">
        <v>254</v>
      </c>
      <c r="J7" s="37"/>
      <c r="K7" s="37"/>
      <c r="L7" s="37"/>
      <c r="M7" s="37"/>
      <c r="N7" s="38"/>
      <c r="O7" s="38"/>
      <c r="P7" s="38"/>
      <c r="Q7" s="38"/>
      <c r="R7" s="38" t="s">
        <v>256</v>
      </c>
      <c r="T7" s="4"/>
      <c r="U7" s="4"/>
      <c r="V7" s="6"/>
    </row>
    <row r="8" spans="1:22" x14ac:dyDescent="0.2">
      <c r="A8" s="48" t="s">
        <v>252</v>
      </c>
      <c r="B8" s="48"/>
      <c r="C8" s="52">
        <v>0.27083333333333331</v>
      </c>
      <c r="D8" s="52">
        <f>E8-C8</f>
        <v>0.66666666666666674</v>
      </c>
      <c r="E8" s="52">
        <v>0.9375</v>
      </c>
      <c r="F8" s="62" t="s">
        <v>260</v>
      </c>
      <c r="G8" s="18" t="s">
        <v>261</v>
      </c>
      <c r="H8" s="18"/>
      <c r="I8" s="18" t="s">
        <v>254</v>
      </c>
      <c r="J8" s="37"/>
      <c r="K8" s="37"/>
      <c r="L8" s="37"/>
      <c r="M8" s="37"/>
      <c r="N8" s="38"/>
      <c r="O8" s="38"/>
      <c r="P8" s="38"/>
      <c r="Q8" s="38"/>
      <c r="R8" s="38" t="s">
        <v>256</v>
      </c>
      <c r="T8" s="4"/>
      <c r="U8" s="4"/>
    </row>
    <row r="9" spans="1:22" x14ac:dyDescent="0.2">
      <c r="A9" s="48" t="s">
        <v>252</v>
      </c>
      <c r="B9" s="48"/>
      <c r="C9" s="52">
        <f>$C$26-TIME(3,30,0)</f>
        <v>0.29166666666666663</v>
      </c>
      <c r="D9" s="52"/>
      <c r="E9" s="52"/>
      <c r="F9" s="69" t="s">
        <v>262</v>
      </c>
      <c r="G9" s="18"/>
      <c r="H9" s="18"/>
      <c r="I9" s="18" t="s">
        <v>254</v>
      </c>
      <c r="J9" s="37"/>
      <c r="K9" s="37"/>
      <c r="L9" s="37"/>
      <c r="M9" s="37"/>
      <c r="N9" s="38"/>
      <c r="O9" s="38"/>
      <c r="P9" s="38"/>
      <c r="Q9" s="38"/>
      <c r="R9" s="38"/>
      <c r="T9" s="4"/>
      <c r="U9" s="4"/>
    </row>
    <row r="10" spans="1:22" x14ac:dyDescent="0.2">
      <c r="A10" s="48" t="s">
        <v>252</v>
      </c>
      <c r="B10" s="48"/>
      <c r="C10" s="52">
        <v>0.29166666666666669</v>
      </c>
      <c r="D10" s="52">
        <f>E10-C10</f>
        <v>0.3020833333333332</v>
      </c>
      <c r="E10" s="52">
        <f>$C$65+TIME(1,0,0)</f>
        <v>0.59374999999999989</v>
      </c>
      <c r="F10" s="18" t="s">
        <v>263</v>
      </c>
      <c r="G10" s="18" t="s">
        <v>264</v>
      </c>
      <c r="H10" s="18"/>
      <c r="I10" s="18" t="s">
        <v>254</v>
      </c>
      <c r="J10" s="37"/>
      <c r="K10" s="37"/>
      <c r="L10" s="37"/>
      <c r="M10" s="37"/>
      <c r="N10" s="38"/>
      <c r="O10" s="38" t="s">
        <v>256</v>
      </c>
      <c r="P10" s="38"/>
      <c r="Q10" s="38"/>
      <c r="R10" s="38" t="s">
        <v>256</v>
      </c>
      <c r="T10" s="4"/>
      <c r="U10" s="4"/>
    </row>
    <row r="11" spans="1:22" x14ac:dyDescent="0.2">
      <c r="A11" s="48" t="s">
        <v>252</v>
      </c>
      <c r="B11" s="48"/>
      <c r="C11" s="52">
        <v>0.29166666666666669</v>
      </c>
      <c r="D11" s="52">
        <f>E11-C11</f>
        <v>0.10416666666666663</v>
      </c>
      <c r="E11" s="52">
        <v>0.39583333333333331</v>
      </c>
      <c r="F11" s="62" t="s">
        <v>265</v>
      </c>
      <c r="G11" s="18" t="s">
        <v>266</v>
      </c>
      <c r="H11" s="18"/>
      <c r="I11" s="18" t="s">
        <v>254</v>
      </c>
      <c r="J11" s="37"/>
      <c r="K11" s="37"/>
      <c r="L11" s="37"/>
      <c r="M11" s="37"/>
      <c r="N11" s="38"/>
      <c r="O11" s="38" t="s">
        <v>256</v>
      </c>
      <c r="P11" s="38"/>
      <c r="Q11" s="38"/>
      <c r="R11" s="38" t="s">
        <v>256</v>
      </c>
      <c r="T11" s="4"/>
      <c r="U11" s="4"/>
    </row>
    <row r="12" spans="1:22" ht="14.25" customHeight="1" x14ac:dyDescent="0.2">
      <c r="A12" s="48" t="s">
        <v>252</v>
      </c>
      <c r="B12" s="48"/>
      <c r="C12" s="52">
        <f>$C$26-TIME(2,30,0)</f>
        <v>0.33333333333333331</v>
      </c>
      <c r="D12" s="52"/>
      <c r="E12" s="52"/>
      <c r="F12" s="69" t="s">
        <v>267</v>
      </c>
      <c r="G12" s="18"/>
      <c r="H12" s="18"/>
      <c r="I12" s="18" t="s">
        <v>254</v>
      </c>
      <c r="J12" s="37"/>
      <c r="K12" s="37"/>
      <c r="L12" s="37"/>
      <c r="M12" s="37"/>
      <c r="N12" s="38"/>
      <c r="O12" s="38"/>
      <c r="P12" s="38"/>
      <c r="Q12" s="38"/>
      <c r="R12" s="38"/>
      <c r="T12" s="4"/>
      <c r="U12" s="4"/>
    </row>
    <row r="13" spans="1:22" x14ac:dyDescent="0.2">
      <c r="A13" s="48" t="s">
        <v>252</v>
      </c>
      <c r="B13" s="48"/>
      <c r="C13" s="52">
        <f>$C$26-TIME(2,30,0)</f>
        <v>0.33333333333333331</v>
      </c>
      <c r="D13" s="52">
        <f>E13-C13</f>
        <v>9.375E-2</v>
      </c>
      <c r="E13" s="52">
        <f>$C$26-TIME(0,15,0)</f>
        <v>0.42708333333333331</v>
      </c>
      <c r="F13" s="18" t="s">
        <v>268</v>
      </c>
      <c r="G13" s="18" t="s">
        <v>269</v>
      </c>
      <c r="H13" s="18"/>
      <c r="I13" s="18" t="s">
        <v>254</v>
      </c>
      <c r="J13" s="37"/>
      <c r="K13" s="37"/>
      <c r="L13" s="37"/>
      <c r="M13" s="37"/>
      <c r="N13" s="38"/>
      <c r="O13" s="38" t="s">
        <v>256</v>
      </c>
      <c r="P13" s="38"/>
      <c r="Q13" s="38"/>
      <c r="R13" s="38" t="s">
        <v>256</v>
      </c>
      <c r="T13" s="4"/>
      <c r="U13" s="4"/>
      <c r="V13" s="6"/>
    </row>
    <row r="14" spans="1:22" x14ac:dyDescent="0.2">
      <c r="A14" s="48" t="s">
        <v>252</v>
      </c>
      <c r="B14" s="48"/>
      <c r="C14" s="52">
        <f>$C$26-TIME(2,0,0)</f>
        <v>0.35416666666666669</v>
      </c>
      <c r="D14" s="52"/>
      <c r="E14" s="52"/>
      <c r="F14" s="92" t="s">
        <v>53</v>
      </c>
      <c r="G14" s="18"/>
      <c r="H14" s="18"/>
      <c r="I14" s="18" t="s">
        <v>254</v>
      </c>
      <c r="J14" s="37"/>
      <c r="K14" s="37"/>
      <c r="L14" s="37"/>
      <c r="M14" s="37"/>
      <c r="N14" s="38"/>
      <c r="O14" s="38"/>
      <c r="P14" s="38"/>
      <c r="Q14" s="38"/>
      <c r="R14" s="38"/>
      <c r="T14" s="4"/>
      <c r="U14" s="4"/>
    </row>
    <row r="15" spans="1:22" x14ac:dyDescent="0.2">
      <c r="A15" s="48" t="s">
        <v>252</v>
      </c>
      <c r="B15" s="48"/>
      <c r="C15" s="52">
        <f>$C$26-TIME(2,0,0)</f>
        <v>0.35416666666666669</v>
      </c>
      <c r="D15" s="52"/>
      <c r="E15" s="52"/>
      <c r="F15" s="18" t="s">
        <v>270</v>
      </c>
      <c r="G15" s="18" t="s">
        <v>271</v>
      </c>
      <c r="H15" s="18"/>
      <c r="I15" s="18" t="s">
        <v>254</v>
      </c>
      <c r="J15" s="37"/>
      <c r="K15" s="37"/>
      <c r="L15" s="37"/>
      <c r="M15" s="37"/>
      <c r="N15" s="38"/>
      <c r="O15" s="38"/>
      <c r="P15" s="38"/>
      <c r="Q15" s="38"/>
      <c r="R15" s="38" t="s">
        <v>256</v>
      </c>
      <c r="T15" s="4"/>
      <c r="U15" s="4"/>
      <c r="V15" s="6"/>
    </row>
    <row r="16" spans="1:22" x14ac:dyDescent="0.2">
      <c r="A16" s="48" t="s">
        <v>252</v>
      </c>
      <c r="B16" s="48"/>
      <c r="C16" s="52">
        <f>$C$26-TIME(1,30,0)</f>
        <v>0.375</v>
      </c>
      <c r="D16" s="52">
        <v>6.25E-2</v>
      </c>
      <c r="E16" s="52">
        <f>$C$26-TIME(0,0,0)</f>
        <v>0.4375</v>
      </c>
      <c r="F16" s="69" t="s">
        <v>55</v>
      </c>
      <c r="G16" s="18" t="s">
        <v>39</v>
      </c>
      <c r="H16" s="18"/>
      <c r="I16" s="18" t="s">
        <v>254</v>
      </c>
      <c r="J16" s="37"/>
      <c r="K16" s="37"/>
      <c r="L16" s="37"/>
      <c r="M16" s="37"/>
      <c r="N16" s="38"/>
      <c r="O16" s="38" t="s">
        <v>256</v>
      </c>
      <c r="P16" s="38"/>
      <c r="Q16" s="38" t="s">
        <v>256</v>
      </c>
      <c r="R16" s="38" t="s">
        <v>256</v>
      </c>
      <c r="T16" s="4"/>
      <c r="U16" s="4"/>
    </row>
    <row r="17" spans="1:22" x14ac:dyDescent="0.2">
      <c r="A17" s="48" t="s">
        <v>252</v>
      </c>
      <c r="B17" s="48"/>
      <c r="C17" s="52">
        <f>$C$26-TIME(1,15,0)</f>
        <v>0.38541666666666669</v>
      </c>
      <c r="D17" s="52"/>
      <c r="E17" s="52"/>
      <c r="F17" s="18" t="s">
        <v>272</v>
      </c>
      <c r="G17" s="18" t="s">
        <v>271</v>
      </c>
      <c r="H17" s="18"/>
      <c r="I17" s="18" t="s">
        <v>254</v>
      </c>
      <c r="J17" s="37"/>
      <c r="K17" s="37"/>
      <c r="L17" s="37"/>
      <c r="M17" s="37"/>
      <c r="N17" s="38"/>
      <c r="O17" s="38"/>
      <c r="P17" s="38"/>
      <c r="Q17" s="38"/>
      <c r="R17" s="38" t="s">
        <v>256</v>
      </c>
      <c r="T17" s="4"/>
      <c r="U17" s="4"/>
    </row>
    <row r="18" spans="1:22" x14ac:dyDescent="0.2">
      <c r="A18" s="48" t="s">
        <v>252</v>
      </c>
      <c r="B18" s="48"/>
      <c r="C18" s="52">
        <f>$C$26-TIME(1,0,0)</f>
        <v>0.39583333333333331</v>
      </c>
      <c r="D18" s="52">
        <f>E18-C18</f>
        <v>2.083333333333337E-2</v>
      </c>
      <c r="E18" s="52">
        <v>0.41666666666666669</v>
      </c>
      <c r="F18" s="18" t="s">
        <v>52</v>
      </c>
      <c r="G18" s="18" t="s">
        <v>271</v>
      </c>
      <c r="H18" s="18"/>
      <c r="I18" s="18" t="s">
        <v>254</v>
      </c>
      <c r="J18" s="37"/>
      <c r="K18" s="37"/>
      <c r="L18" s="37"/>
      <c r="M18" s="37"/>
      <c r="N18" s="38"/>
      <c r="O18" s="38"/>
      <c r="P18" s="38"/>
      <c r="Q18" s="38"/>
      <c r="R18" s="38"/>
      <c r="T18" s="4"/>
      <c r="U18" s="4"/>
    </row>
    <row r="19" spans="1:22" x14ac:dyDescent="0.2">
      <c r="A19" s="48" t="s">
        <v>252</v>
      </c>
      <c r="B19" s="48"/>
      <c r="C19" s="52">
        <v>0.39583333333333331</v>
      </c>
      <c r="D19" s="52"/>
      <c r="E19" s="52"/>
      <c r="F19" s="62" t="s">
        <v>273</v>
      </c>
      <c r="G19" s="18" t="s">
        <v>266</v>
      </c>
      <c r="H19" s="18"/>
      <c r="I19" s="18" t="s">
        <v>254</v>
      </c>
      <c r="J19" s="37"/>
      <c r="K19" s="37"/>
      <c r="L19" s="37"/>
      <c r="M19" s="37"/>
      <c r="N19" s="38"/>
      <c r="O19" s="38" t="s">
        <v>256</v>
      </c>
      <c r="P19" s="38"/>
      <c r="Q19" s="38" t="s">
        <v>256</v>
      </c>
      <c r="R19" s="38" t="s">
        <v>256</v>
      </c>
      <c r="T19" s="4"/>
      <c r="U19" s="4"/>
    </row>
    <row r="20" spans="1:22" x14ac:dyDescent="0.2">
      <c r="A20" s="48" t="s">
        <v>252</v>
      </c>
      <c r="B20" s="48"/>
      <c r="C20" s="52">
        <f>$C$26-TIME(0,15,0)</f>
        <v>0.42708333333333331</v>
      </c>
      <c r="D20" s="52"/>
      <c r="E20" s="52"/>
      <c r="F20" s="18" t="s">
        <v>274</v>
      </c>
      <c r="G20" s="18" t="s">
        <v>269</v>
      </c>
      <c r="H20" s="18"/>
      <c r="I20" s="18" t="s">
        <v>254</v>
      </c>
      <c r="J20" s="37"/>
      <c r="K20" s="37"/>
      <c r="L20" s="37"/>
      <c r="M20" s="37"/>
      <c r="N20" s="38"/>
      <c r="O20" s="38" t="s">
        <v>256</v>
      </c>
      <c r="P20" s="38"/>
      <c r="Q20" s="38" t="s">
        <v>256</v>
      </c>
      <c r="R20" s="38" t="s">
        <v>256</v>
      </c>
      <c r="T20" s="4"/>
      <c r="U20" s="4"/>
    </row>
    <row r="21" spans="1:22" x14ac:dyDescent="0.2">
      <c r="A21" s="48" t="s">
        <v>252</v>
      </c>
      <c r="B21" s="48"/>
      <c r="C21" s="52">
        <f>$C$26-TIME(0,15,0)</f>
        <v>0.42708333333333331</v>
      </c>
      <c r="D21" s="52">
        <f>E21-C21</f>
        <v>8.2106481481482751E-2</v>
      </c>
      <c r="E21" s="52">
        <f>C58</f>
        <v>0.50918981481481607</v>
      </c>
      <c r="F21" s="18" t="s">
        <v>56</v>
      </c>
      <c r="G21" s="18" t="s">
        <v>269</v>
      </c>
      <c r="H21" s="18"/>
      <c r="I21" s="18" t="s">
        <v>254</v>
      </c>
      <c r="J21" s="37"/>
      <c r="K21" s="37"/>
      <c r="L21" s="37"/>
      <c r="M21" s="37"/>
      <c r="N21" s="38"/>
      <c r="O21" s="38" t="s">
        <v>256</v>
      </c>
      <c r="P21" s="38"/>
      <c r="Q21" s="38" t="s">
        <v>256</v>
      </c>
      <c r="R21" s="38" t="s">
        <v>256</v>
      </c>
      <c r="T21" s="4"/>
      <c r="U21" s="4"/>
    </row>
    <row r="22" spans="1:22" x14ac:dyDescent="0.2">
      <c r="A22" s="48" t="s">
        <v>252</v>
      </c>
      <c r="B22" s="48"/>
      <c r="C22" s="52">
        <f>$C$26-TIME(0,5,0)</f>
        <v>0.43402777777777779</v>
      </c>
      <c r="D22" s="52">
        <f>E22-C22</f>
        <v>2.4305555555555469E-3</v>
      </c>
      <c r="E22" s="52">
        <f>$C$26-TIME(0,1,30)</f>
        <v>0.43645833333333334</v>
      </c>
      <c r="F22" s="18" t="s">
        <v>275</v>
      </c>
      <c r="G22" s="18" t="s">
        <v>269</v>
      </c>
      <c r="H22" s="18"/>
      <c r="I22" s="18" t="s">
        <v>254</v>
      </c>
      <c r="J22" s="18" t="s">
        <v>630</v>
      </c>
      <c r="K22" s="37"/>
      <c r="L22" s="37"/>
      <c r="M22" s="37"/>
      <c r="N22" s="38"/>
      <c r="O22" s="38" t="s">
        <v>256</v>
      </c>
      <c r="P22" s="38" t="s">
        <v>256</v>
      </c>
      <c r="Q22" s="38" t="s">
        <v>256</v>
      </c>
      <c r="R22" s="38"/>
      <c r="T22" s="4"/>
      <c r="U22" s="4"/>
    </row>
    <row r="23" spans="1:22" x14ac:dyDescent="0.2">
      <c r="A23" s="48" t="s">
        <v>252</v>
      </c>
      <c r="B23" s="48"/>
      <c r="C23" s="52">
        <f>$C$26-TIME(0,1,30)</f>
        <v>0.43645833333333334</v>
      </c>
      <c r="D23" s="52">
        <f>E23-C23</f>
        <v>3.4722222222222099E-4</v>
      </c>
      <c r="E23" s="52">
        <f>$C$26-TIME(0,1,0)</f>
        <v>0.43680555555555556</v>
      </c>
      <c r="F23" s="18" t="s">
        <v>277</v>
      </c>
      <c r="G23" s="18" t="s">
        <v>269</v>
      </c>
      <c r="H23" s="18"/>
      <c r="I23" s="18" t="s">
        <v>254</v>
      </c>
      <c r="J23" s="18" t="s">
        <v>630</v>
      </c>
      <c r="K23" s="37"/>
      <c r="L23" s="37"/>
      <c r="M23" s="37"/>
      <c r="N23" s="38"/>
      <c r="O23" s="38" t="s">
        <v>256</v>
      </c>
      <c r="P23" s="38" t="s">
        <v>256</v>
      </c>
      <c r="Q23" s="38" t="s">
        <v>256</v>
      </c>
      <c r="R23" s="38"/>
      <c r="T23" s="4"/>
      <c r="U23" s="4"/>
    </row>
    <row r="24" spans="1:22" x14ac:dyDescent="0.2">
      <c r="A24" s="48" t="s">
        <v>252</v>
      </c>
      <c r="B24" s="48"/>
      <c r="C24" s="52">
        <f>$C$26-TIME(0,1,0)</f>
        <v>0.43680555555555556</v>
      </c>
      <c r="D24" s="52">
        <f>E24-C24</f>
        <v>6.9444444444444198E-4</v>
      </c>
      <c r="E24" s="52">
        <f>$C$26-TIME(0,0,0)</f>
        <v>0.4375</v>
      </c>
      <c r="F24" s="18" t="s">
        <v>278</v>
      </c>
      <c r="G24" s="18" t="s">
        <v>269</v>
      </c>
      <c r="H24" s="18"/>
      <c r="I24" s="18" t="s">
        <v>254</v>
      </c>
      <c r="J24" s="18"/>
      <c r="K24" s="37"/>
      <c r="L24" s="37"/>
      <c r="M24" s="37"/>
      <c r="N24" s="38"/>
      <c r="O24" s="38"/>
      <c r="P24" s="38"/>
      <c r="Q24" s="38" t="s">
        <v>256</v>
      </c>
      <c r="R24" s="38"/>
      <c r="T24" s="4"/>
      <c r="U24" s="4"/>
    </row>
    <row r="25" spans="1:22" s="1" customFormat="1" x14ac:dyDescent="0.2">
      <c r="A25" s="75"/>
      <c r="B25" s="75"/>
      <c r="C25" s="65">
        <v>0.4375</v>
      </c>
      <c r="D25" s="75"/>
      <c r="E25" s="65"/>
      <c r="F25" s="31" t="s">
        <v>57</v>
      </c>
      <c r="G25" s="76"/>
      <c r="H25" s="76"/>
      <c r="I25" s="76" t="s">
        <v>254</v>
      </c>
      <c r="J25" s="76" t="s">
        <v>630</v>
      </c>
      <c r="K25" s="76"/>
      <c r="L25" s="108">
        <f t="shared" ref="L25:L59" si="0">C25</f>
        <v>0.4375</v>
      </c>
      <c r="M25" s="108"/>
      <c r="N25" s="75"/>
      <c r="O25" s="75" t="s">
        <v>256</v>
      </c>
      <c r="P25" s="75" t="s">
        <v>256</v>
      </c>
      <c r="Q25" s="75" t="s">
        <v>256</v>
      </c>
      <c r="R25" s="75" t="s">
        <v>256</v>
      </c>
      <c r="T25" s="73"/>
      <c r="U25" s="73"/>
      <c r="V25" s="74"/>
    </row>
    <row r="26" spans="1:22" x14ac:dyDescent="0.2">
      <c r="A26" s="43"/>
      <c r="B26" s="43"/>
      <c r="C26" s="57">
        <v>0.4375</v>
      </c>
      <c r="D26" s="43"/>
      <c r="E26" s="54"/>
      <c r="F26" s="32" t="s">
        <v>60</v>
      </c>
      <c r="G26" s="42"/>
      <c r="H26" s="42"/>
      <c r="I26" s="42" t="s">
        <v>254</v>
      </c>
      <c r="J26" s="42" t="s">
        <v>630</v>
      </c>
      <c r="K26" s="42"/>
      <c r="L26" s="104">
        <f t="shared" si="0"/>
        <v>0.4375</v>
      </c>
      <c r="M26" s="104"/>
      <c r="N26" s="43"/>
      <c r="O26" s="43" t="s">
        <v>256</v>
      </c>
      <c r="P26" s="43" t="s">
        <v>256</v>
      </c>
      <c r="Q26" s="43" t="s">
        <v>256</v>
      </c>
      <c r="R26" s="43" t="s">
        <v>256</v>
      </c>
      <c r="T26" s="4"/>
      <c r="U26" s="4"/>
    </row>
    <row r="27" spans="1:22" x14ac:dyDescent="0.2">
      <c r="A27" s="48" t="s">
        <v>279</v>
      </c>
      <c r="B27" s="52">
        <f t="shared" ref="B27:B57" si="1">C27-$C$26</f>
        <v>0</v>
      </c>
      <c r="C27" s="52">
        <f>'[1]Day 4-H '!$D$10</f>
        <v>0.4375</v>
      </c>
      <c r="D27" s="50">
        <f t="shared" ref="D27:D61" si="2">E27-C27</f>
        <v>2.9513888888889062E-3</v>
      </c>
      <c r="E27" s="52">
        <f>C28</f>
        <v>0.44045138888888891</v>
      </c>
      <c r="F27" s="47" t="s">
        <v>631</v>
      </c>
      <c r="G27" s="18" t="s">
        <v>269</v>
      </c>
      <c r="H27" s="18"/>
      <c r="I27" s="18" t="s">
        <v>254</v>
      </c>
      <c r="J27" s="18" t="s">
        <v>630</v>
      </c>
      <c r="K27" s="44" t="s">
        <v>632</v>
      </c>
      <c r="L27" s="105">
        <f t="shared" si="0"/>
        <v>0.4375</v>
      </c>
      <c r="M27" s="105">
        <f t="shared" ref="M27:M46" si="3">E27</f>
        <v>0.44045138888888891</v>
      </c>
      <c r="N27" s="38"/>
      <c r="O27" s="38" t="s">
        <v>256</v>
      </c>
      <c r="P27" s="38" t="s">
        <v>256</v>
      </c>
      <c r="Q27" s="38" t="s">
        <v>256</v>
      </c>
      <c r="R27" s="38"/>
      <c r="T27" s="4"/>
      <c r="U27" s="4"/>
    </row>
    <row r="28" spans="1:22" x14ac:dyDescent="0.2">
      <c r="A28" s="48" t="s">
        <v>279</v>
      </c>
      <c r="B28" s="52">
        <f t="shared" si="1"/>
        <v>2.9513888888889062E-3</v>
      </c>
      <c r="C28" s="52">
        <f>'[1]Day 4-H '!$D$13</f>
        <v>0.44045138888888891</v>
      </c>
      <c r="D28" s="50">
        <f t="shared" si="2"/>
        <v>3.4027777777778101E-3</v>
      </c>
      <c r="E28" s="52">
        <f t="shared" ref="E28:E57" si="4">C29</f>
        <v>0.44385416666666672</v>
      </c>
      <c r="F28" s="47" t="s">
        <v>633</v>
      </c>
      <c r="G28" s="18" t="s">
        <v>269</v>
      </c>
      <c r="H28" s="18"/>
      <c r="I28" s="18" t="s">
        <v>254</v>
      </c>
      <c r="J28" s="18" t="s">
        <v>630</v>
      </c>
      <c r="K28" s="44" t="s">
        <v>634</v>
      </c>
      <c r="L28" s="105">
        <f t="shared" si="0"/>
        <v>0.44045138888888891</v>
      </c>
      <c r="M28" s="105">
        <f t="shared" si="3"/>
        <v>0.44385416666666672</v>
      </c>
      <c r="N28" s="38"/>
      <c r="O28" s="38" t="s">
        <v>256</v>
      </c>
      <c r="P28" s="38" t="s">
        <v>256</v>
      </c>
      <c r="Q28" s="38" t="s">
        <v>256</v>
      </c>
      <c r="R28" s="38"/>
      <c r="T28" s="4"/>
      <c r="U28" s="4"/>
    </row>
    <row r="29" spans="1:22" x14ac:dyDescent="0.2">
      <c r="A29" s="48" t="s">
        <v>279</v>
      </c>
      <c r="B29" s="52">
        <f t="shared" si="1"/>
        <v>6.3541666666667163E-3</v>
      </c>
      <c r="C29" s="52">
        <f>'[1]Day 4-H '!$D$17</f>
        <v>0.44385416666666672</v>
      </c>
      <c r="D29" s="50">
        <f t="shared" si="2"/>
        <v>1.8865740740741099E-3</v>
      </c>
      <c r="E29" s="52">
        <f t="shared" si="4"/>
        <v>0.44574074074074083</v>
      </c>
      <c r="F29" s="47" t="s">
        <v>635</v>
      </c>
      <c r="G29" s="18" t="s">
        <v>269</v>
      </c>
      <c r="H29" s="18"/>
      <c r="I29" s="18" t="s">
        <v>254</v>
      </c>
      <c r="J29" s="18" t="s">
        <v>630</v>
      </c>
      <c r="K29" s="44" t="s">
        <v>636</v>
      </c>
      <c r="L29" s="105">
        <f t="shared" si="0"/>
        <v>0.44385416666666672</v>
      </c>
      <c r="M29" s="105">
        <f t="shared" si="3"/>
        <v>0.44574074074074083</v>
      </c>
      <c r="N29" s="38"/>
      <c r="O29" s="38" t="s">
        <v>256</v>
      </c>
      <c r="P29" s="38" t="s">
        <v>256</v>
      </c>
      <c r="Q29" s="38" t="s">
        <v>256</v>
      </c>
      <c r="R29" s="38"/>
      <c r="T29" s="4"/>
      <c r="U29" s="4"/>
    </row>
    <row r="30" spans="1:22" x14ac:dyDescent="0.2">
      <c r="A30" s="48" t="s">
        <v>279</v>
      </c>
      <c r="B30" s="52">
        <f t="shared" si="1"/>
        <v>8.2407407407408262E-3</v>
      </c>
      <c r="C30" s="52">
        <f>'[1]Day 4-H '!$D$20</f>
        <v>0.44574074074074083</v>
      </c>
      <c r="D30" s="50">
        <f t="shared" si="2"/>
        <v>1.3078703703704453E-3</v>
      </c>
      <c r="E30" s="52">
        <f t="shared" si="4"/>
        <v>0.44704861111111127</v>
      </c>
      <c r="F30" s="47" t="s">
        <v>637</v>
      </c>
      <c r="G30" s="18" t="s">
        <v>269</v>
      </c>
      <c r="H30" s="18"/>
      <c r="I30" s="18" t="s">
        <v>254</v>
      </c>
      <c r="J30" s="18" t="s">
        <v>630</v>
      </c>
      <c r="K30" s="44" t="s">
        <v>638</v>
      </c>
      <c r="L30" s="105">
        <f t="shared" si="0"/>
        <v>0.44574074074074083</v>
      </c>
      <c r="M30" s="105">
        <f t="shared" si="3"/>
        <v>0.44704861111111127</v>
      </c>
      <c r="N30" s="38"/>
      <c r="O30" s="38" t="s">
        <v>256</v>
      </c>
      <c r="P30" s="38" t="s">
        <v>256</v>
      </c>
      <c r="Q30" s="38" t="s">
        <v>256</v>
      </c>
      <c r="R30" s="38"/>
      <c r="T30" s="4"/>
      <c r="U30" s="4"/>
    </row>
    <row r="31" spans="1:22" x14ac:dyDescent="0.2">
      <c r="A31" s="48" t="s">
        <v>279</v>
      </c>
      <c r="B31" s="52">
        <f t="shared" si="1"/>
        <v>9.5486111111112715E-3</v>
      </c>
      <c r="C31" s="52">
        <f>'[1]Day 4-H '!$D$23</f>
        <v>0.44704861111111127</v>
      </c>
      <c r="D31" s="50">
        <f t="shared" si="2"/>
        <v>1.2731481481482176E-3</v>
      </c>
      <c r="E31" s="52">
        <f t="shared" si="4"/>
        <v>0.44832175925925949</v>
      </c>
      <c r="F31" s="47" t="s">
        <v>639</v>
      </c>
      <c r="G31" s="18" t="s">
        <v>269</v>
      </c>
      <c r="H31" s="18"/>
      <c r="I31" s="18" t="s">
        <v>254</v>
      </c>
      <c r="J31" s="18" t="s">
        <v>630</v>
      </c>
      <c r="K31" s="44" t="s">
        <v>640</v>
      </c>
      <c r="L31" s="105">
        <f t="shared" si="0"/>
        <v>0.44704861111111127</v>
      </c>
      <c r="M31" s="105">
        <f t="shared" si="3"/>
        <v>0.44832175925925949</v>
      </c>
      <c r="N31" s="38"/>
      <c r="O31" s="38" t="s">
        <v>256</v>
      </c>
      <c r="P31" s="38" t="s">
        <v>256</v>
      </c>
      <c r="Q31" s="38" t="s">
        <v>256</v>
      </c>
      <c r="R31" s="38"/>
      <c r="T31" s="4"/>
      <c r="U31" s="4"/>
    </row>
    <row r="32" spans="1:22" x14ac:dyDescent="0.2">
      <c r="A32" s="48" t="s">
        <v>279</v>
      </c>
      <c r="B32" s="52">
        <f t="shared" si="1"/>
        <v>1.0821759259259489E-2</v>
      </c>
      <c r="C32" s="52">
        <f>'[1]Day 4-H '!$D$26</f>
        <v>0.44832175925925949</v>
      </c>
      <c r="D32" s="50">
        <f t="shared" si="2"/>
        <v>1.2615740740741233E-3</v>
      </c>
      <c r="E32" s="52">
        <f t="shared" si="4"/>
        <v>0.44958333333333361</v>
      </c>
      <c r="F32" s="47" t="s">
        <v>641</v>
      </c>
      <c r="G32" s="18" t="s">
        <v>269</v>
      </c>
      <c r="H32" s="18"/>
      <c r="I32" s="18" t="s">
        <v>254</v>
      </c>
      <c r="J32" s="18" t="s">
        <v>630</v>
      </c>
      <c r="K32" s="44" t="s">
        <v>642</v>
      </c>
      <c r="L32" s="105">
        <f t="shared" si="0"/>
        <v>0.44832175925925949</v>
      </c>
      <c r="M32" s="105">
        <f t="shared" si="3"/>
        <v>0.44958333333333361</v>
      </c>
      <c r="N32" s="38"/>
      <c r="O32" s="38" t="s">
        <v>256</v>
      </c>
      <c r="P32" s="38" t="s">
        <v>256</v>
      </c>
      <c r="Q32" s="38" t="s">
        <v>256</v>
      </c>
      <c r="R32" s="38"/>
      <c r="T32" s="4"/>
      <c r="U32" s="4"/>
    </row>
    <row r="33" spans="1:21" x14ac:dyDescent="0.2">
      <c r="A33" s="48" t="s">
        <v>279</v>
      </c>
      <c r="B33" s="52">
        <f t="shared" si="1"/>
        <v>1.2083333333333612E-2</v>
      </c>
      <c r="C33" s="52">
        <f>'[1]Day 4-H '!$D$29</f>
        <v>0.44958333333333361</v>
      </c>
      <c r="D33" s="50">
        <f t="shared" si="2"/>
        <v>1.2615740740741233E-3</v>
      </c>
      <c r="E33" s="52">
        <f t="shared" si="4"/>
        <v>0.45084490740740774</v>
      </c>
      <c r="F33" s="47" t="s">
        <v>643</v>
      </c>
      <c r="G33" s="18" t="s">
        <v>269</v>
      </c>
      <c r="H33" s="18"/>
      <c r="I33" s="18" t="s">
        <v>254</v>
      </c>
      <c r="J33" s="18" t="s">
        <v>630</v>
      </c>
      <c r="K33" s="44" t="s">
        <v>644</v>
      </c>
      <c r="L33" s="105">
        <f t="shared" si="0"/>
        <v>0.44958333333333361</v>
      </c>
      <c r="M33" s="105">
        <f t="shared" si="3"/>
        <v>0.45084490740740774</v>
      </c>
      <c r="N33" s="38"/>
      <c r="O33" s="38" t="s">
        <v>256</v>
      </c>
      <c r="P33" s="38" t="s">
        <v>256</v>
      </c>
      <c r="Q33" s="38" t="s">
        <v>256</v>
      </c>
      <c r="R33" s="38"/>
      <c r="T33" s="4"/>
      <c r="U33" s="4"/>
    </row>
    <row r="34" spans="1:21" x14ac:dyDescent="0.2">
      <c r="A34" s="48" t="s">
        <v>279</v>
      </c>
      <c r="B34" s="52">
        <f t="shared" ref="B34" si="5">C34-$C$26</f>
        <v>1.3344907407407736E-2</v>
      </c>
      <c r="C34" s="52">
        <f>'[1]Day 4-H '!$D$32</f>
        <v>0.45084490740740774</v>
      </c>
      <c r="D34" s="50">
        <f t="shared" si="2"/>
        <v>1.7245370370370661E-3</v>
      </c>
      <c r="E34" s="52">
        <f t="shared" si="4"/>
        <v>0.4525694444444448</v>
      </c>
      <c r="F34" s="47" t="s">
        <v>645</v>
      </c>
      <c r="G34" s="18" t="s">
        <v>269</v>
      </c>
      <c r="H34" s="18"/>
      <c r="I34" s="18" t="s">
        <v>254</v>
      </c>
      <c r="J34" s="18" t="s">
        <v>630</v>
      </c>
      <c r="K34" s="44" t="s">
        <v>646</v>
      </c>
      <c r="L34" s="105">
        <f t="shared" ref="L34" si="6">C34</f>
        <v>0.45084490740740774</v>
      </c>
      <c r="M34" s="105">
        <f t="shared" ref="M34" si="7">E34</f>
        <v>0.4525694444444448</v>
      </c>
      <c r="N34" s="38"/>
      <c r="O34" s="38" t="s">
        <v>256</v>
      </c>
      <c r="P34" s="38" t="s">
        <v>256</v>
      </c>
      <c r="Q34" s="38" t="s">
        <v>256</v>
      </c>
      <c r="R34" s="38"/>
      <c r="T34" s="4"/>
      <c r="U34" s="4"/>
    </row>
    <row r="35" spans="1:21" x14ac:dyDescent="0.2">
      <c r="A35" s="48" t="s">
        <v>279</v>
      </c>
      <c r="B35" s="52">
        <f t="shared" si="1"/>
        <v>1.5069444444444802E-2</v>
      </c>
      <c r="C35" s="52">
        <f>'[1]Day 4-H '!$D$36</f>
        <v>0.4525694444444448</v>
      </c>
      <c r="D35" s="50">
        <f t="shared" si="2"/>
        <v>2.2800925925925974E-3</v>
      </c>
      <c r="E35" s="52">
        <f t="shared" si="4"/>
        <v>0.4548495370370374</v>
      </c>
      <c r="F35" s="47" t="s">
        <v>647</v>
      </c>
      <c r="G35" s="18" t="s">
        <v>269</v>
      </c>
      <c r="H35" s="18"/>
      <c r="I35" s="18" t="s">
        <v>254</v>
      </c>
      <c r="J35" s="18" t="s">
        <v>630</v>
      </c>
      <c r="K35" s="44" t="s">
        <v>648</v>
      </c>
      <c r="L35" s="105">
        <f t="shared" si="0"/>
        <v>0.4525694444444448</v>
      </c>
      <c r="M35" s="105">
        <f t="shared" si="3"/>
        <v>0.4548495370370374</v>
      </c>
      <c r="N35" s="38"/>
      <c r="O35" s="38" t="s">
        <v>256</v>
      </c>
      <c r="P35" s="38" t="s">
        <v>256</v>
      </c>
      <c r="Q35" s="38" t="s">
        <v>256</v>
      </c>
      <c r="R35" s="38"/>
      <c r="T35" s="4"/>
      <c r="U35" s="4"/>
    </row>
    <row r="36" spans="1:21" x14ac:dyDescent="0.2">
      <c r="A36" s="48" t="s">
        <v>279</v>
      </c>
      <c r="B36" s="52">
        <f t="shared" si="1"/>
        <v>1.7349537037037399E-2</v>
      </c>
      <c r="C36" s="52">
        <f>'[1]Day 4-H '!$D$39</f>
        <v>0.4548495370370374</v>
      </c>
      <c r="D36" s="50">
        <f t="shared" si="2"/>
        <v>1.6666666666667052E-3</v>
      </c>
      <c r="E36" s="52">
        <f t="shared" si="4"/>
        <v>0.4565162037037041</v>
      </c>
      <c r="F36" s="47" t="s">
        <v>649</v>
      </c>
      <c r="G36" s="18" t="s">
        <v>269</v>
      </c>
      <c r="H36" s="18"/>
      <c r="I36" s="18" t="s">
        <v>254</v>
      </c>
      <c r="J36" s="18" t="s">
        <v>630</v>
      </c>
      <c r="K36" s="44" t="s">
        <v>650</v>
      </c>
      <c r="L36" s="105">
        <f t="shared" si="0"/>
        <v>0.4548495370370374</v>
      </c>
      <c r="M36" s="105">
        <f t="shared" si="3"/>
        <v>0.4565162037037041</v>
      </c>
      <c r="N36" s="38"/>
      <c r="O36" s="38" t="s">
        <v>256</v>
      </c>
      <c r="P36" s="38" t="s">
        <v>256</v>
      </c>
      <c r="Q36" s="38" t="s">
        <v>256</v>
      </c>
      <c r="R36" s="38"/>
      <c r="T36" s="4"/>
      <c r="U36" s="4"/>
    </row>
    <row r="37" spans="1:21" x14ac:dyDescent="0.2">
      <c r="A37" s="48" t="s">
        <v>279</v>
      </c>
      <c r="B37" s="52">
        <f t="shared" si="1"/>
        <v>1.9016203703704104E-2</v>
      </c>
      <c r="C37" s="52">
        <f>'[1]Day 4-H '!$D$42</f>
        <v>0.4565162037037041</v>
      </c>
      <c r="D37" s="50">
        <f t="shared" si="2"/>
        <v>1.6435185185185719E-3</v>
      </c>
      <c r="E37" s="52">
        <f t="shared" si="4"/>
        <v>0.45815972222222268</v>
      </c>
      <c r="F37" s="47" t="s">
        <v>651</v>
      </c>
      <c r="G37" s="18" t="s">
        <v>269</v>
      </c>
      <c r="H37" s="18"/>
      <c r="I37" s="18" t="s">
        <v>254</v>
      </c>
      <c r="J37" s="18" t="s">
        <v>630</v>
      </c>
      <c r="K37" s="44" t="s">
        <v>652</v>
      </c>
      <c r="L37" s="105">
        <f t="shared" si="0"/>
        <v>0.4565162037037041</v>
      </c>
      <c r="M37" s="105">
        <f t="shared" si="3"/>
        <v>0.45815972222222268</v>
      </c>
      <c r="N37" s="38"/>
      <c r="O37" s="38" t="s">
        <v>256</v>
      </c>
      <c r="P37" s="38" t="s">
        <v>256</v>
      </c>
      <c r="Q37" s="38" t="s">
        <v>256</v>
      </c>
      <c r="R37" s="38"/>
      <c r="T37" s="4"/>
      <c r="U37" s="4"/>
    </row>
    <row r="38" spans="1:21" x14ac:dyDescent="0.2">
      <c r="A38" s="48" t="s">
        <v>279</v>
      </c>
      <c r="B38" s="52">
        <f t="shared" si="1"/>
        <v>2.0659722222222676E-2</v>
      </c>
      <c r="C38" s="52">
        <f>'[1]Day 4-H '!$D$45</f>
        <v>0.45815972222222268</v>
      </c>
      <c r="D38" s="50">
        <f t="shared" si="2"/>
        <v>1.6319444444444775E-3</v>
      </c>
      <c r="E38" s="52">
        <f t="shared" si="4"/>
        <v>0.45979166666666715</v>
      </c>
      <c r="F38" s="47" t="s">
        <v>653</v>
      </c>
      <c r="G38" s="18" t="s">
        <v>269</v>
      </c>
      <c r="H38" s="18"/>
      <c r="I38" s="18" t="s">
        <v>254</v>
      </c>
      <c r="J38" s="18" t="s">
        <v>630</v>
      </c>
      <c r="K38" s="44" t="s">
        <v>654</v>
      </c>
      <c r="L38" s="105">
        <f t="shared" si="0"/>
        <v>0.45815972222222268</v>
      </c>
      <c r="M38" s="105">
        <f t="shared" si="3"/>
        <v>0.45979166666666715</v>
      </c>
      <c r="N38" s="38"/>
      <c r="O38" s="38" t="s">
        <v>256</v>
      </c>
      <c r="P38" s="38" t="s">
        <v>256</v>
      </c>
      <c r="Q38" s="38" t="s">
        <v>256</v>
      </c>
      <c r="R38" s="38"/>
      <c r="T38" s="4"/>
      <c r="U38" s="4"/>
    </row>
    <row r="39" spans="1:21" x14ac:dyDescent="0.2">
      <c r="A39" s="48" t="s">
        <v>279</v>
      </c>
      <c r="B39" s="52">
        <f t="shared" si="1"/>
        <v>2.2291666666667154E-2</v>
      </c>
      <c r="C39" s="52">
        <f>'[1]Day 4-H '!$D$48</f>
        <v>0.45979166666666715</v>
      </c>
      <c r="D39" s="50">
        <f t="shared" si="2"/>
        <v>1.6087962962963442E-3</v>
      </c>
      <c r="E39" s="52">
        <f t="shared" si="4"/>
        <v>0.4614004629629635</v>
      </c>
      <c r="F39" s="47" t="s">
        <v>655</v>
      </c>
      <c r="G39" s="18" t="s">
        <v>269</v>
      </c>
      <c r="H39" s="18"/>
      <c r="I39" s="18" t="s">
        <v>254</v>
      </c>
      <c r="J39" s="18" t="s">
        <v>630</v>
      </c>
      <c r="K39" s="44" t="s">
        <v>656</v>
      </c>
      <c r="L39" s="105">
        <f t="shared" si="0"/>
        <v>0.45979166666666715</v>
      </c>
      <c r="M39" s="105">
        <f t="shared" si="3"/>
        <v>0.4614004629629635</v>
      </c>
      <c r="N39" s="38"/>
      <c r="O39" s="38" t="s">
        <v>256</v>
      </c>
      <c r="P39" s="38" t="s">
        <v>256</v>
      </c>
      <c r="Q39" s="38" t="s">
        <v>256</v>
      </c>
      <c r="R39" s="38"/>
      <c r="T39" s="4"/>
      <c r="U39" s="4"/>
    </row>
    <row r="40" spans="1:21" x14ac:dyDescent="0.2">
      <c r="A40" s="48" t="s">
        <v>279</v>
      </c>
      <c r="B40" s="52">
        <f t="shared" si="1"/>
        <v>2.3900462962963498E-2</v>
      </c>
      <c r="C40" s="52">
        <f>'[1]Day 4-H '!$D$51</f>
        <v>0.4614004629629635</v>
      </c>
      <c r="D40" s="50">
        <f t="shared" si="2"/>
        <v>1.5972222222222499E-3</v>
      </c>
      <c r="E40" s="52">
        <f t="shared" si="4"/>
        <v>0.46299768518518575</v>
      </c>
      <c r="F40" s="47" t="s">
        <v>657</v>
      </c>
      <c r="G40" s="18" t="s">
        <v>269</v>
      </c>
      <c r="H40" s="18"/>
      <c r="I40" s="18" t="s">
        <v>254</v>
      </c>
      <c r="J40" s="18" t="s">
        <v>630</v>
      </c>
      <c r="K40" s="44" t="s">
        <v>658</v>
      </c>
      <c r="L40" s="105">
        <f t="shared" si="0"/>
        <v>0.4614004629629635</v>
      </c>
      <c r="M40" s="105">
        <f t="shared" si="3"/>
        <v>0.46299768518518575</v>
      </c>
      <c r="N40" s="38"/>
      <c r="O40" s="38" t="s">
        <v>256</v>
      </c>
      <c r="P40" s="38" t="s">
        <v>256</v>
      </c>
      <c r="Q40" s="38" t="s">
        <v>256</v>
      </c>
      <c r="R40" s="38"/>
      <c r="T40" s="4"/>
      <c r="U40" s="4"/>
    </row>
    <row r="41" spans="1:21" x14ac:dyDescent="0.2">
      <c r="A41" s="48" t="s">
        <v>279</v>
      </c>
      <c r="B41" s="52">
        <f t="shared" ref="B41" si="8">C41-$C$26</f>
        <v>2.5497685185185748E-2</v>
      </c>
      <c r="C41" s="52">
        <f>'[1]Day 4-H '!$D$57</f>
        <v>0.46299768518518575</v>
      </c>
      <c r="D41" s="50">
        <f t="shared" si="2"/>
        <v>2.0486111111111538E-3</v>
      </c>
      <c r="E41" s="52">
        <f t="shared" si="4"/>
        <v>0.4650462962962969</v>
      </c>
      <c r="F41" s="47" t="s">
        <v>659</v>
      </c>
      <c r="G41" s="18" t="s">
        <v>269</v>
      </c>
      <c r="H41" s="18"/>
      <c r="I41" s="18" t="s">
        <v>254</v>
      </c>
      <c r="J41" s="18" t="s">
        <v>630</v>
      </c>
      <c r="K41" s="44" t="s">
        <v>660</v>
      </c>
      <c r="L41" s="105">
        <f t="shared" ref="L41" si="9">C41</f>
        <v>0.46299768518518575</v>
      </c>
      <c r="M41" s="105">
        <f t="shared" ref="M41" si="10">E41</f>
        <v>0.4650462962962969</v>
      </c>
      <c r="N41" s="38"/>
      <c r="O41" s="38" t="s">
        <v>256</v>
      </c>
      <c r="P41" s="38" t="s">
        <v>256</v>
      </c>
      <c r="Q41" s="38" t="s">
        <v>256</v>
      </c>
      <c r="R41" s="38"/>
      <c r="T41" s="4"/>
      <c r="U41" s="4"/>
    </row>
    <row r="42" spans="1:21" x14ac:dyDescent="0.2">
      <c r="A42" s="48" t="s">
        <v>279</v>
      </c>
      <c r="B42" s="52">
        <f t="shared" si="1"/>
        <v>2.7546296296296902E-2</v>
      </c>
      <c r="C42" s="52">
        <f>'[1]Day 4-H '!$D$61</f>
        <v>0.4650462962962969</v>
      </c>
      <c r="D42" s="50">
        <f t="shared" si="2"/>
        <v>2.1990740740741033E-3</v>
      </c>
      <c r="E42" s="52">
        <f t="shared" si="4"/>
        <v>0.467245370370371</v>
      </c>
      <c r="F42" s="47" t="s">
        <v>661</v>
      </c>
      <c r="G42" s="18" t="s">
        <v>269</v>
      </c>
      <c r="H42" s="18"/>
      <c r="I42" s="18" t="s">
        <v>254</v>
      </c>
      <c r="J42" s="18" t="s">
        <v>630</v>
      </c>
      <c r="K42" s="44" t="s">
        <v>662</v>
      </c>
      <c r="L42" s="105">
        <f t="shared" si="0"/>
        <v>0.4650462962962969</v>
      </c>
      <c r="M42" s="105">
        <f t="shared" si="3"/>
        <v>0.467245370370371</v>
      </c>
      <c r="N42" s="38"/>
      <c r="O42" s="38" t="s">
        <v>256</v>
      </c>
      <c r="P42" s="38" t="s">
        <v>256</v>
      </c>
      <c r="Q42" s="38" t="s">
        <v>256</v>
      </c>
      <c r="R42" s="38"/>
      <c r="T42" s="4"/>
      <c r="U42" s="4"/>
    </row>
    <row r="43" spans="1:21" x14ac:dyDescent="0.2">
      <c r="A43" s="48" t="s">
        <v>279</v>
      </c>
      <c r="B43" s="52">
        <f t="shared" si="1"/>
        <v>2.9745370370371005E-2</v>
      </c>
      <c r="C43" s="52">
        <f>'[1]Day 4-H '!$D$64</f>
        <v>0.467245370370371</v>
      </c>
      <c r="D43" s="50">
        <f t="shared" si="2"/>
        <v>1.6550925925926663E-3</v>
      </c>
      <c r="E43" s="52">
        <f t="shared" si="4"/>
        <v>0.46890046296296367</v>
      </c>
      <c r="F43" s="47" t="s">
        <v>663</v>
      </c>
      <c r="G43" s="18" t="s">
        <v>269</v>
      </c>
      <c r="H43" s="18"/>
      <c r="I43" s="18" t="s">
        <v>254</v>
      </c>
      <c r="J43" s="18" t="s">
        <v>630</v>
      </c>
      <c r="K43" s="44" t="s">
        <v>664</v>
      </c>
      <c r="L43" s="105">
        <f t="shared" si="0"/>
        <v>0.467245370370371</v>
      </c>
      <c r="M43" s="105">
        <f t="shared" si="3"/>
        <v>0.46890046296296367</v>
      </c>
      <c r="N43" s="38"/>
      <c r="O43" s="38" t="s">
        <v>256</v>
      </c>
      <c r="P43" s="38" t="s">
        <v>256</v>
      </c>
      <c r="Q43" s="38" t="s">
        <v>256</v>
      </c>
      <c r="R43" s="38"/>
      <c r="T43" s="4"/>
      <c r="U43" s="4"/>
    </row>
    <row r="44" spans="1:21" x14ac:dyDescent="0.2">
      <c r="A44" s="48" t="s">
        <v>279</v>
      </c>
      <c r="B44" s="52">
        <f t="shared" si="1"/>
        <v>3.1400462962963671E-2</v>
      </c>
      <c r="C44" s="52">
        <f>'[1]Day 4-H '!$D$67</f>
        <v>0.46890046296296367</v>
      </c>
      <c r="D44" s="50">
        <f t="shared" si="2"/>
        <v>1.5972222222222499E-3</v>
      </c>
      <c r="E44" s="52">
        <f t="shared" si="4"/>
        <v>0.47049768518518592</v>
      </c>
      <c r="F44" s="47" t="s">
        <v>665</v>
      </c>
      <c r="G44" s="18" t="s">
        <v>269</v>
      </c>
      <c r="H44" s="18"/>
      <c r="I44" s="18" t="s">
        <v>254</v>
      </c>
      <c r="J44" s="18" t="s">
        <v>630</v>
      </c>
      <c r="K44" s="44" t="s">
        <v>666</v>
      </c>
      <c r="L44" s="105">
        <f t="shared" si="0"/>
        <v>0.46890046296296367</v>
      </c>
      <c r="M44" s="105">
        <f t="shared" si="3"/>
        <v>0.47049768518518592</v>
      </c>
      <c r="N44" s="38"/>
      <c r="O44" s="38" t="s">
        <v>256</v>
      </c>
      <c r="P44" s="38" t="s">
        <v>256</v>
      </c>
      <c r="Q44" s="38" t="s">
        <v>256</v>
      </c>
      <c r="R44" s="38"/>
      <c r="T44" s="4"/>
      <c r="U44" s="4"/>
    </row>
    <row r="45" spans="1:21" x14ac:dyDescent="0.2">
      <c r="A45" s="48" t="s">
        <v>279</v>
      </c>
      <c r="B45" s="52">
        <f t="shared" si="1"/>
        <v>3.2997685185185921E-2</v>
      </c>
      <c r="C45" s="52">
        <f>'[1]Day 4-H '!$D$70</f>
        <v>0.47049768518518592</v>
      </c>
      <c r="D45" s="50">
        <f t="shared" si="2"/>
        <v>1.585648148148211E-3</v>
      </c>
      <c r="E45" s="52">
        <f t="shared" si="4"/>
        <v>0.47208333333333413</v>
      </c>
      <c r="F45" s="47" t="s">
        <v>667</v>
      </c>
      <c r="G45" s="18" t="s">
        <v>269</v>
      </c>
      <c r="H45" s="18"/>
      <c r="I45" s="18" t="s">
        <v>254</v>
      </c>
      <c r="J45" s="18" t="s">
        <v>630</v>
      </c>
      <c r="K45" s="44" t="s">
        <v>668</v>
      </c>
      <c r="L45" s="105">
        <f t="shared" si="0"/>
        <v>0.47049768518518592</v>
      </c>
      <c r="M45" s="105">
        <f t="shared" si="3"/>
        <v>0.47208333333333413</v>
      </c>
      <c r="N45" s="38"/>
      <c r="O45" s="38" t="s">
        <v>256</v>
      </c>
      <c r="P45" s="38" t="s">
        <v>256</v>
      </c>
      <c r="Q45" s="38" t="s">
        <v>256</v>
      </c>
      <c r="R45" s="38"/>
      <c r="T45" s="4"/>
      <c r="U45" s="4"/>
    </row>
    <row r="46" spans="1:21" x14ac:dyDescent="0.2">
      <c r="A46" s="48" t="s">
        <v>279</v>
      </c>
      <c r="B46" s="52">
        <f t="shared" si="1"/>
        <v>3.4583333333334132E-2</v>
      </c>
      <c r="C46" s="52">
        <f>'[1]Day 4-H '!$D$73</f>
        <v>0.47208333333333413</v>
      </c>
      <c r="D46" s="50">
        <f t="shared" si="2"/>
        <v>1.5740740740741166E-3</v>
      </c>
      <c r="E46" s="52">
        <f t="shared" si="4"/>
        <v>0.47365740740740825</v>
      </c>
      <c r="F46" s="47" t="s">
        <v>669</v>
      </c>
      <c r="G46" s="18" t="s">
        <v>269</v>
      </c>
      <c r="H46" s="18"/>
      <c r="I46" s="18" t="s">
        <v>254</v>
      </c>
      <c r="J46" s="18" t="s">
        <v>630</v>
      </c>
      <c r="K46" s="44" t="s">
        <v>670</v>
      </c>
      <c r="L46" s="105">
        <f t="shared" si="0"/>
        <v>0.47208333333333413</v>
      </c>
      <c r="M46" s="105">
        <f t="shared" si="3"/>
        <v>0.47365740740740825</v>
      </c>
      <c r="N46" s="38"/>
      <c r="O46" s="38" t="s">
        <v>256</v>
      </c>
      <c r="P46" s="38" t="s">
        <v>256</v>
      </c>
      <c r="Q46" s="38" t="s">
        <v>256</v>
      </c>
      <c r="R46" s="38"/>
      <c r="T46" s="4"/>
      <c r="U46" s="4"/>
    </row>
    <row r="47" spans="1:21" x14ac:dyDescent="0.2">
      <c r="A47" s="48" t="s">
        <v>279</v>
      </c>
      <c r="B47" s="52">
        <f t="shared" ref="B47:B48" si="11">C47-$C$26</f>
        <v>3.6157407407408249E-2</v>
      </c>
      <c r="C47" s="52">
        <f>'[1]Day 4-H '!$D$76</f>
        <v>0.47365740740740825</v>
      </c>
      <c r="D47" s="50">
        <f t="shared" si="2"/>
        <v>1.5625000000000777E-3</v>
      </c>
      <c r="E47" s="52">
        <f t="shared" si="4"/>
        <v>0.47521990740740833</v>
      </c>
      <c r="F47" s="47" t="s">
        <v>671</v>
      </c>
      <c r="G47" s="18" t="s">
        <v>269</v>
      </c>
      <c r="H47" s="18"/>
      <c r="I47" s="18" t="s">
        <v>254</v>
      </c>
      <c r="J47" s="18" t="s">
        <v>630</v>
      </c>
      <c r="K47" s="44" t="s">
        <v>672</v>
      </c>
      <c r="L47" s="105">
        <f t="shared" ref="L47:L48" si="12">C47</f>
        <v>0.47365740740740825</v>
      </c>
      <c r="M47" s="105">
        <f t="shared" ref="M47:M57" si="13">E47</f>
        <v>0.47521990740740833</v>
      </c>
      <c r="N47" s="38"/>
      <c r="O47" s="38" t="s">
        <v>256</v>
      </c>
      <c r="P47" s="38" t="s">
        <v>256</v>
      </c>
      <c r="Q47" s="38" t="s">
        <v>256</v>
      </c>
      <c r="R47" s="38"/>
      <c r="T47" s="4"/>
      <c r="U47" s="4"/>
    </row>
    <row r="48" spans="1:21" x14ac:dyDescent="0.2">
      <c r="A48" s="48" t="s">
        <v>279</v>
      </c>
      <c r="B48" s="52">
        <f t="shared" si="11"/>
        <v>3.7719907407408326E-2</v>
      </c>
      <c r="C48" s="52">
        <f>'[1]Day 4-H '!$D$79</f>
        <v>0.47521990740740833</v>
      </c>
      <c r="D48" s="50">
        <f t="shared" si="2"/>
        <v>2.0254629629630205E-3</v>
      </c>
      <c r="E48" s="52">
        <f t="shared" si="4"/>
        <v>0.47724537037037135</v>
      </c>
      <c r="F48" s="47" t="s">
        <v>673</v>
      </c>
      <c r="G48" s="18" t="s">
        <v>269</v>
      </c>
      <c r="H48" s="18"/>
      <c r="I48" s="18" t="s">
        <v>254</v>
      </c>
      <c r="J48" s="18" t="s">
        <v>630</v>
      </c>
      <c r="K48" s="44" t="s">
        <v>674</v>
      </c>
      <c r="L48" s="105">
        <f t="shared" si="12"/>
        <v>0.47521990740740833</v>
      </c>
      <c r="M48" s="105">
        <f t="shared" si="13"/>
        <v>0.47724537037037135</v>
      </c>
      <c r="N48" s="38"/>
      <c r="O48" s="38" t="s">
        <v>256</v>
      </c>
      <c r="P48" s="38" t="s">
        <v>256</v>
      </c>
      <c r="Q48" s="38" t="s">
        <v>256</v>
      </c>
      <c r="R48" s="38"/>
      <c r="T48" s="4"/>
      <c r="U48" s="4"/>
    </row>
    <row r="49" spans="1:21" x14ac:dyDescent="0.2">
      <c r="A49" s="48" t="s">
        <v>279</v>
      </c>
      <c r="B49" s="52">
        <f t="shared" si="1"/>
        <v>3.9745370370371347E-2</v>
      </c>
      <c r="C49" s="52">
        <f>'[1]Day 4-H '!$D$83</f>
        <v>0.47724537037037135</v>
      </c>
      <c r="D49" s="50">
        <f t="shared" si="2"/>
        <v>3.3449074074074492E-3</v>
      </c>
      <c r="E49" s="52">
        <f t="shared" si="4"/>
        <v>0.4805902777777788</v>
      </c>
      <c r="F49" s="47" t="s">
        <v>675</v>
      </c>
      <c r="G49" s="18" t="s">
        <v>269</v>
      </c>
      <c r="H49" s="18"/>
      <c r="I49" s="18" t="s">
        <v>254</v>
      </c>
      <c r="J49" s="18" t="s">
        <v>630</v>
      </c>
      <c r="K49" s="44" t="s">
        <v>676</v>
      </c>
      <c r="L49" s="105">
        <f t="shared" si="0"/>
        <v>0.47724537037037135</v>
      </c>
      <c r="M49" s="105">
        <f t="shared" si="13"/>
        <v>0.4805902777777788</v>
      </c>
      <c r="N49" s="38"/>
      <c r="O49" s="38" t="s">
        <v>256</v>
      </c>
      <c r="P49" s="38" t="s">
        <v>256</v>
      </c>
      <c r="Q49" s="38" t="s">
        <v>256</v>
      </c>
      <c r="R49" s="38"/>
      <c r="T49" s="4"/>
      <c r="U49" s="4"/>
    </row>
    <row r="50" spans="1:21" x14ac:dyDescent="0.2">
      <c r="A50" s="48" t="s">
        <v>279</v>
      </c>
      <c r="B50" s="52">
        <f t="shared" si="1"/>
        <v>4.3090277777778796E-2</v>
      </c>
      <c r="C50" s="52">
        <f>'[1]Day 4-H '!$D$86</f>
        <v>0.4805902777777788</v>
      </c>
      <c r="D50" s="50">
        <f t="shared" si="2"/>
        <v>3.1365740740740833E-3</v>
      </c>
      <c r="E50" s="52">
        <f>C51</f>
        <v>0.48372685185185288</v>
      </c>
      <c r="F50" s="47" t="s">
        <v>677</v>
      </c>
      <c r="G50" s="18" t="s">
        <v>269</v>
      </c>
      <c r="H50" s="18"/>
      <c r="I50" s="18" t="s">
        <v>254</v>
      </c>
      <c r="J50" s="18" t="s">
        <v>630</v>
      </c>
      <c r="K50" s="44" t="s">
        <v>678</v>
      </c>
      <c r="L50" s="105">
        <f t="shared" si="0"/>
        <v>0.4805902777777788</v>
      </c>
      <c r="M50" s="105">
        <f t="shared" si="13"/>
        <v>0.48372685185185288</v>
      </c>
      <c r="N50" s="38"/>
      <c r="O50" s="38" t="s">
        <v>256</v>
      </c>
      <c r="P50" s="38" t="s">
        <v>256</v>
      </c>
      <c r="Q50" s="38" t="s">
        <v>256</v>
      </c>
      <c r="R50" s="38"/>
      <c r="T50" s="4"/>
      <c r="U50" s="4"/>
    </row>
    <row r="51" spans="1:21" s="5" customFormat="1" x14ac:dyDescent="0.2">
      <c r="A51" s="48" t="s">
        <v>279</v>
      </c>
      <c r="B51" s="52">
        <f t="shared" si="1"/>
        <v>4.6226851851852879E-2</v>
      </c>
      <c r="C51" s="52">
        <f>'[1]Day 4-H '!$D$101</f>
        <v>0.48372685185185288</v>
      </c>
      <c r="D51" s="50">
        <f t="shared" si="2"/>
        <v>2.4421296296296413E-3</v>
      </c>
      <c r="E51" s="52">
        <f t="shared" si="4"/>
        <v>0.48616898148148252</v>
      </c>
      <c r="F51" s="47" t="s">
        <v>679</v>
      </c>
      <c r="G51" s="18" t="s">
        <v>269</v>
      </c>
      <c r="H51" s="18"/>
      <c r="I51" s="18" t="s">
        <v>254</v>
      </c>
      <c r="J51" s="18" t="s">
        <v>630</v>
      </c>
      <c r="K51" s="44" t="s">
        <v>680</v>
      </c>
      <c r="L51" s="105">
        <f t="shared" si="0"/>
        <v>0.48372685185185288</v>
      </c>
      <c r="M51" s="105">
        <f t="shared" si="13"/>
        <v>0.48616898148148252</v>
      </c>
      <c r="N51" s="38"/>
      <c r="O51" s="38" t="s">
        <v>256</v>
      </c>
      <c r="P51" s="38" t="s">
        <v>256</v>
      </c>
      <c r="Q51" s="38" t="s">
        <v>256</v>
      </c>
      <c r="R51" s="38"/>
      <c r="S51"/>
      <c r="T51" s="4"/>
      <c r="U51" s="4"/>
    </row>
    <row r="52" spans="1:21" s="5" customFormat="1" x14ac:dyDescent="0.2">
      <c r="A52" s="48" t="s">
        <v>279</v>
      </c>
      <c r="B52" s="52">
        <f t="shared" si="1"/>
        <v>4.8668981481482521E-2</v>
      </c>
      <c r="C52" s="52">
        <f>'[1]Day 4-H '!$D$104</f>
        <v>0.48616898148148252</v>
      </c>
      <c r="D52" s="50">
        <f t="shared" si="2"/>
        <v>1.828703703703749E-3</v>
      </c>
      <c r="E52" s="52">
        <f t="shared" si="4"/>
        <v>0.48799768518518627</v>
      </c>
      <c r="F52" s="47" t="s">
        <v>681</v>
      </c>
      <c r="G52" s="18" t="s">
        <v>269</v>
      </c>
      <c r="H52" s="18"/>
      <c r="I52" s="18" t="s">
        <v>254</v>
      </c>
      <c r="J52" s="18" t="s">
        <v>630</v>
      </c>
      <c r="K52" s="44" t="s">
        <v>682</v>
      </c>
      <c r="L52" s="105">
        <f t="shared" si="0"/>
        <v>0.48616898148148252</v>
      </c>
      <c r="M52" s="105">
        <f t="shared" si="13"/>
        <v>0.48799768518518627</v>
      </c>
      <c r="N52" s="38"/>
      <c r="O52" s="38" t="s">
        <v>256</v>
      </c>
      <c r="P52" s="38" t="s">
        <v>256</v>
      </c>
      <c r="Q52" s="38" t="s">
        <v>256</v>
      </c>
      <c r="R52" s="38"/>
      <c r="S52"/>
      <c r="T52" s="4"/>
      <c r="U52" s="4"/>
    </row>
    <row r="53" spans="1:21" s="5" customFormat="1" x14ac:dyDescent="0.2">
      <c r="A53" s="48" t="s">
        <v>279</v>
      </c>
      <c r="B53" s="52">
        <f t="shared" si="1"/>
        <v>5.049768518518627E-2</v>
      </c>
      <c r="C53" s="52">
        <f>'[1]Day 4-H '!$D$107</f>
        <v>0.48799768518518627</v>
      </c>
      <c r="D53" s="50">
        <f t="shared" si="2"/>
        <v>1.8171296296297101E-3</v>
      </c>
      <c r="E53" s="52">
        <f t="shared" si="4"/>
        <v>0.48981481481481598</v>
      </c>
      <c r="F53" s="47" t="s">
        <v>683</v>
      </c>
      <c r="G53" s="18" t="s">
        <v>269</v>
      </c>
      <c r="H53" s="18"/>
      <c r="I53" s="18" t="s">
        <v>254</v>
      </c>
      <c r="J53" s="18" t="s">
        <v>630</v>
      </c>
      <c r="K53" s="44" t="s">
        <v>684</v>
      </c>
      <c r="L53" s="105">
        <f t="shared" si="0"/>
        <v>0.48799768518518627</v>
      </c>
      <c r="M53" s="105">
        <f t="shared" si="13"/>
        <v>0.48981481481481598</v>
      </c>
      <c r="N53" s="38"/>
      <c r="O53" s="38" t="s">
        <v>256</v>
      </c>
      <c r="P53" s="38" t="s">
        <v>256</v>
      </c>
      <c r="Q53" s="38" t="s">
        <v>256</v>
      </c>
      <c r="R53" s="38"/>
      <c r="S53"/>
      <c r="T53" s="4"/>
      <c r="U53" s="4"/>
    </row>
    <row r="54" spans="1:21" s="5" customFormat="1" x14ac:dyDescent="0.2">
      <c r="A54" s="48" t="s">
        <v>279</v>
      </c>
      <c r="B54" s="52">
        <f t="shared" si="1"/>
        <v>5.231481481481598E-2</v>
      </c>
      <c r="C54" s="52">
        <f>'[1]Day 4-H '!$D$110</f>
        <v>0.48981481481481598</v>
      </c>
      <c r="D54" s="50">
        <f t="shared" si="2"/>
        <v>2.2685185185185586E-3</v>
      </c>
      <c r="E54" s="52">
        <f t="shared" si="4"/>
        <v>0.49208333333333454</v>
      </c>
      <c r="F54" s="47" t="s">
        <v>685</v>
      </c>
      <c r="G54" s="18" t="s">
        <v>269</v>
      </c>
      <c r="H54" s="18"/>
      <c r="I54" s="18" t="s">
        <v>254</v>
      </c>
      <c r="J54" s="18" t="s">
        <v>630</v>
      </c>
      <c r="K54" s="44" t="s">
        <v>686</v>
      </c>
      <c r="L54" s="105">
        <f t="shared" si="0"/>
        <v>0.48981481481481598</v>
      </c>
      <c r="M54" s="105">
        <f t="shared" si="13"/>
        <v>0.49208333333333454</v>
      </c>
      <c r="N54" s="38"/>
      <c r="O54" s="38" t="s">
        <v>256</v>
      </c>
      <c r="P54" s="38" t="s">
        <v>256</v>
      </c>
      <c r="Q54" s="38" t="s">
        <v>256</v>
      </c>
      <c r="R54" s="38"/>
      <c r="S54"/>
      <c r="T54" s="4"/>
      <c r="U54" s="4"/>
    </row>
    <row r="55" spans="1:21" s="5" customFormat="1" x14ac:dyDescent="0.2">
      <c r="A55" s="48" t="s">
        <v>279</v>
      </c>
      <c r="B55" s="52">
        <f t="shared" si="1"/>
        <v>5.4583333333334538E-2</v>
      </c>
      <c r="C55" s="52">
        <f>'[1]Day 4-H '!$D$120</f>
        <v>0.49208333333333454</v>
      </c>
      <c r="D55" s="50">
        <f t="shared" si="2"/>
        <v>8.1481481481481266E-3</v>
      </c>
      <c r="E55" s="52">
        <f t="shared" si="4"/>
        <v>0.50023148148148266</v>
      </c>
      <c r="F55" s="47" t="s">
        <v>687</v>
      </c>
      <c r="G55" s="18" t="s">
        <v>269</v>
      </c>
      <c r="H55" s="18"/>
      <c r="I55" s="18" t="s">
        <v>254</v>
      </c>
      <c r="J55" s="18" t="s">
        <v>630</v>
      </c>
      <c r="K55" s="44" t="s">
        <v>688</v>
      </c>
      <c r="L55" s="105">
        <f t="shared" si="0"/>
        <v>0.49208333333333454</v>
      </c>
      <c r="M55" s="105">
        <f t="shared" si="13"/>
        <v>0.50023148148148266</v>
      </c>
      <c r="N55" s="38"/>
      <c r="O55" s="38" t="s">
        <v>256</v>
      </c>
      <c r="P55" s="38" t="s">
        <v>256</v>
      </c>
      <c r="Q55" s="38" t="s">
        <v>256</v>
      </c>
      <c r="R55" s="38"/>
      <c r="S55"/>
      <c r="T55" s="4"/>
      <c r="U55" s="4"/>
    </row>
    <row r="56" spans="1:21" s="5" customFormat="1" x14ac:dyDescent="0.2">
      <c r="A56" s="48" t="s">
        <v>279</v>
      </c>
      <c r="B56" s="52">
        <f t="shared" si="1"/>
        <v>6.2731481481482665E-2</v>
      </c>
      <c r="C56" s="52">
        <f>'[1]Day 4-H '!$D$123</f>
        <v>0.50023148148148266</v>
      </c>
      <c r="D56" s="50">
        <f t="shared" si="2"/>
        <v>7.9166666666666829E-3</v>
      </c>
      <c r="E56" s="52">
        <f t="shared" si="4"/>
        <v>0.50814814814814935</v>
      </c>
      <c r="F56" s="47" t="s">
        <v>689</v>
      </c>
      <c r="G56" s="18" t="s">
        <v>269</v>
      </c>
      <c r="H56" s="18"/>
      <c r="I56" s="18" t="s">
        <v>254</v>
      </c>
      <c r="J56" s="18" t="s">
        <v>630</v>
      </c>
      <c r="K56" s="44" t="s">
        <v>690</v>
      </c>
      <c r="L56" s="105">
        <f t="shared" si="0"/>
        <v>0.50023148148148266</v>
      </c>
      <c r="M56" s="105">
        <f t="shared" si="13"/>
        <v>0.50814814814814935</v>
      </c>
      <c r="N56" s="38"/>
      <c r="O56" s="38" t="s">
        <v>256</v>
      </c>
      <c r="P56" s="38" t="s">
        <v>256</v>
      </c>
      <c r="Q56" s="38" t="s">
        <v>256</v>
      </c>
      <c r="R56" s="38"/>
      <c r="S56"/>
      <c r="T56" s="4"/>
      <c r="U56" s="4"/>
    </row>
    <row r="57" spans="1:21" s="5" customFormat="1" x14ac:dyDescent="0.2">
      <c r="A57" s="48" t="s">
        <v>279</v>
      </c>
      <c r="B57" s="52">
        <f t="shared" si="1"/>
        <v>7.0648148148149348E-2</v>
      </c>
      <c r="C57" s="52">
        <f>'[1]Day 4-H '!$D$127</f>
        <v>0.50814814814814935</v>
      </c>
      <c r="D57" s="50">
        <f t="shared" si="2"/>
        <v>1.0416666666667185E-3</v>
      </c>
      <c r="E57" s="52">
        <f t="shared" si="4"/>
        <v>0.50918981481481607</v>
      </c>
      <c r="F57" s="18" t="s">
        <v>357</v>
      </c>
      <c r="G57" s="18" t="s">
        <v>269</v>
      </c>
      <c r="H57" s="18"/>
      <c r="I57" s="18" t="s">
        <v>254</v>
      </c>
      <c r="J57" s="18" t="s">
        <v>630</v>
      </c>
      <c r="K57" s="37"/>
      <c r="L57" s="105">
        <f t="shared" si="0"/>
        <v>0.50814814814814935</v>
      </c>
      <c r="M57" s="105">
        <f t="shared" si="13"/>
        <v>0.50918981481481607</v>
      </c>
      <c r="N57" s="38"/>
      <c r="O57" s="38" t="s">
        <v>256</v>
      </c>
      <c r="P57" s="38" t="s">
        <v>256</v>
      </c>
      <c r="Q57" s="38" t="s">
        <v>256</v>
      </c>
      <c r="R57" s="38"/>
      <c r="S57"/>
      <c r="T57" s="4"/>
      <c r="U57" s="4"/>
    </row>
    <row r="58" spans="1:21" x14ac:dyDescent="0.2">
      <c r="A58" s="93" t="s">
        <v>279</v>
      </c>
      <c r="B58" s="94"/>
      <c r="C58" s="94">
        <f>'[1]Day 4-H '!$D$128</f>
        <v>0.50918981481481607</v>
      </c>
      <c r="D58" s="93"/>
      <c r="E58" s="94"/>
      <c r="F58" s="20" t="s">
        <v>358</v>
      </c>
      <c r="G58" s="18"/>
      <c r="H58" s="18"/>
      <c r="I58" s="18" t="s">
        <v>254</v>
      </c>
      <c r="J58" s="18" t="s">
        <v>630</v>
      </c>
      <c r="K58" s="37"/>
      <c r="L58" s="105">
        <f t="shared" si="0"/>
        <v>0.50918981481481607</v>
      </c>
      <c r="M58" s="105"/>
      <c r="N58" s="38"/>
      <c r="O58" s="38" t="s">
        <v>256</v>
      </c>
      <c r="P58" s="38" t="s">
        <v>256</v>
      </c>
      <c r="Q58" s="38" t="s">
        <v>256</v>
      </c>
      <c r="R58" s="38" t="s">
        <v>256</v>
      </c>
      <c r="T58" s="4"/>
      <c r="U58" s="4"/>
    </row>
    <row r="59" spans="1:21" s="5" customFormat="1" x14ac:dyDescent="0.2">
      <c r="A59" s="46" t="s">
        <v>279</v>
      </c>
      <c r="B59" s="55"/>
      <c r="C59" s="64">
        <v>0.51041666666666663</v>
      </c>
      <c r="D59" s="46"/>
      <c r="E59" s="55"/>
      <c r="F59" s="33" t="s">
        <v>62</v>
      </c>
      <c r="G59" s="45"/>
      <c r="H59" s="45"/>
      <c r="I59" s="45" t="s">
        <v>254</v>
      </c>
      <c r="J59" s="45" t="s">
        <v>630</v>
      </c>
      <c r="K59" s="45"/>
      <c r="L59" s="106">
        <f t="shared" si="0"/>
        <v>0.51041666666666663</v>
      </c>
      <c r="M59" s="109"/>
      <c r="N59" s="46"/>
      <c r="O59" s="46" t="s">
        <v>256</v>
      </c>
      <c r="P59" s="46" t="s">
        <v>256</v>
      </c>
      <c r="Q59" s="46" t="s">
        <v>256</v>
      </c>
      <c r="R59" s="46" t="s">
        <v>256</v>
      </c>
      <c r="S59"/>
      <c r="T59" s="4"/>
      <c r="U59" s="4"/>
    </row>
    <row r="60" spans="1:21" s="5" customFormat="1" x14ac:dyDescent="0.2">
      <c r="A60" s="48" t="s">
        <v>279</v>
      </c>
      <c r="B60" s="52">
        <f t="shared" ref="B60:B65" si="14">C60-$C$26</f>
        <v>7.291666666666663E-2</v>
      </c>
      <c r="C60" s="52">
        <f>C59</f>
        <v>0.51041666666666663</v>
      </c>
      <c r="D60" s="50">
        <f t="shared" si="2"/>
        <v>4.166666666666663E-2</v>
      </c>
      <c r="E60" s="52">
        <f>$C$60+TIME(1,0,0)</f>
        <v>0.55208333333333326</v>
      </c>
      <c r="F60" s="47" t="s">
        <v>359</v>
      </c>
      <c r="G60" s="18" t="s">
        <v>264</v>
      </c>
      <c r="H60" s="18"/>
      <c r="I60" s="18" t="s">
        <v>254</v>
      </c>
      <c r="J60" s="37"/>
      <c r="K60" s="37"/>
      <c r="L60" s="37"/>
      <c r="M60" s="37"/>
      <c r="N60" s="38"/>
      <c r="O60" s="38"/>
      <c r="P60" s="38"/>
      <c r="Q60" s="38"/>
      <c r="R60" s="38" t="s">
        <v>256</v>
      </c>
      <c r="S60"/>
      <c r="T60" s="4"/>
      <c r="U60" s="4"/>
    </row>
    <row r="61" spans="1:21" s="5" customFormat="1" x14ac:dyDescent="0.2">
      <c r="A61" s="48" t="s">
        <v>279</v>
      </c>
      <c r="B61" s="52">
        <f t="shared" si="14"/>
        <v>0.125</v>
      </c>
      <c r="C61" s="52">
        <v>0.5625</v>
      </c>
      <c r="D61" s="50">
        <f t="shared" si="2"/>
        <v>0.1875</v>
      </c>
      <c r="E61" s="52">
        <v>0.75</v>
      </c>
      <c r="F61" s="63" t="s">
        <v>360</v>
      </c>
      <c r="G61" s="18" t="s">
        <v>266</v>
      </c>
      <c r="H61" s="18"/>
      <c r="I61" s="18" t="s">
        <v>254</v>
      </c>
      <c r="J61" s="37"/>
      <c r="K61" s="37"/>
      <c r="L61" s="37"/>
      <c r="M61" s="37"/>
      <c r="N61" s="38"/>
      <c r="O61" s="38"/>
      <c r="P61" s="38"/>
      <c r="Q61" s="38"/>
      <c r="R61" s="38" t="s">
        <v>256</v>
      </c>
      <c r="S61"/>
      <c r="T61" s="4"/>
      <c r="U61" s="4"/>
    </row>
    <row r="62" spans="1:21" s="5" customFormat="1" x14ac:dyDescent="0.2">
      <c r="A62" s="48" t="s">
        <v>279</v>
      </c>
      <c r="B62" s="52">
        <f t="shared" si="14"/>
        <v>0.1069444444444444</v>
      </c>
      <c r="C62" s="52">
        <v>0.5444444444444444</v>
      </c>
      <c r="D62" s="48"/>
      <c r="E62" s="52"/>
      <c r="F62" s="47" t="s">
        <v>65</v>
      </c>
      <c r="G62" s="18"/>
      <c r="H62" s="18"/>
      <c r="I62" s="18" t="s">
        <v>254</v>
      </c>
      <c r="J62" s="37"/>
      <c r="K62" s="37"/>
      <c r="L62" s="37"/>
      <c r="M62" s="37"/>
      <c r="N62" s="38"/>
      <c r="O62" s="38"/>
      <c r="P62" s="38"/>
      <c r="Q62" s="38"/>
      <c r="R62" s="38"/>
      <c r="S62"/>
      <c r="T62" s="4"/>
      <c r="U62" s="4"/>
    </row>
    <row r="63" spans="1:21" s="5" customFormat="1" x14ac:dyDescent="0.2">
      <c r="A63" s="48" t="s">
        <v>279</v>
      </c>
      <c r="B63" s="52">
        <f t="shared" si="14"/>
        <v>9.375E-2</v>
      </c>
      <c r="C63" s="52">
        <f>$C$59+TIME(0,30,0)</f>
        <v>0.53125</v>
      </c>
      <c r="D63" s="48"/>
      <c r="E63" s="52"/>
      <c r="F63" s="47" t="s">
        <v>361</v>
      </c>
      <c r="G63" s="18" t="s">
        <v>271</v>
      </c>
      <c r="H63" s="18"/>
      <c r="I63" s="18" t="s">
        <v>254</v>
      </c>
      <c r="J63" s="37"/>
      <c r="K63" s="37"/>
      <c r="L63" s="37"/>
      <c r="M63" s="37"/>
      <c r="N63" s="38"/>
      <c r="O63" s="38"/>
      <c r="P63" s="38"/>
      <c r="Q63" s="38"/>
      <c r="R63" s="38" t="s">
        <v>256</v>
      </c>
      <c r="S63"/>
      <c r="T63" s="4"/>
      <c r="U63" s="4"/>
    </row>
    <row r="64" spans="1:21" s="5" customFormat="1" x14ac:dyDescent="0.2">
      <c r="A64" s="48" t="s">
        <v>279</v>
      </c>
      <c r="B64" s="52">
        <f t="shared" si="14"/>
        <v>0.10416666666666663</v>
      </c>
      <c r="C64" s="52">
        <f>$C$59+TIME(0,45,0)</f>
        <v>0.54166666666666663</v>
      </c>
      <c r="D64" s="48"/>
      <c r="E64" s="52"/>
      <c r="F64" s="18" t="s">
        <v>362</v>
      </c>
      <c r="G64" s="18" t="s">
        <v>271</v>
      </c>
      <c r="H64" s="18"/>
      <c r="I64" s="18" t="s">
        <v>254</v>
      </c>
      <c r="J64" s="37"/>
      <c r="K64" s="37"/>
      <c r="L64" s="37"/>
      <c r="M64" s="37"/>
      <c r="N64" s="38"/>
      <c r="O64" s="38"/>
      <c r="P64" s="38"/>
      <c r="Q64" s="38"/>
      <c r="R64" s="38" t="s">
        <v>256</v>
      </c>
      <c r="S64"/>
      <c r="T64" s="4"/>
      <c r="U64" s="4"/>
    </row>
    <row r="65" spans="1:21" s="5" customFormat="1" x14ac:dyDescent="0.2">
      <c r="A65" s="48" t="s">
        <v>279</v>
      </c>
      <c r="B65" s="52">
        <f t="shared" si="14"/>
        <v>0.11458333333333326</v>
      </c>
      <c r="C65" s="52">
        <f>$C$59+TIME(1,0,0)</f>
        <v>0.55208333333333326</v>
      </c>
      <c r="D65" s="48"/>
      <c r="E65" s="52"/>
      <c r="F65" s="47" t="s">
        <v>363</v>
      </c>
      <c r="G65" s="18"/>
      <c r="H65" s="18"/>
      <c r="I65" s="18" t="s">
        <v>254</v>
      </c>
      <c r="J65" s="37"/>
      <c r="K65" s="37"/>
      <c r="L65" s="37"/>
      <c r="M65" s="37"/>
      <c r="N65" s="38"/>
      <c r="O65" s="38"/>
      <c r="P65" s="38"/>
      <c r="Q65" s="38"/>
      <c r="R65" s="38" t="s">
        <v>256</v>
      </c>
      <c r="S65"/>
      <c r="T65" s="4"/>
      <c r="U65" s="4"/>
    </row>
    <row r="66" spans="1:21" s="5" customFormat="1" x14ac:dyDescent="0.2">
      <c r="A66" s="58"/>
      <c r="B66" s="59"/>
      <c r="C66" s="59"/>
      <c r="D66" s="58"/>
      <c r="E66" s="59"/>
      <c r="F66" s="60"/>
      <c r="G66" s="60"/>
      <c r="H66" s="60"/>
      <c r="I66" s="60"/>
      <c r="J66" s="60"/>
      <c r="K66" s="60"/>
      <c r="L66" s="60"/>
      <c r="M66" s="60"/>
      <c r="N66" s="58"/>
      <c r="O66" s="58"/>
      <c r="P66" s="58"/>
      <c r="Q66" s="58"/>
      <c r="R66" s="58"/>
      <c r="S66"/>
      <c r="T66" s="4"/>
      <c r="U66" s="4"/>
    </row>
    <row r="67" spans="1:21" s="5" customFormat="1" ht="14.25" customHeight="1" x14ac:dyDescent="0.2">
      <c r="A67" s="48" t="s">
        <v>252</v>
      </c>
      <c r="B67" s="52">
        <f>$C$80-C67</f>
        <v>0.15069444444444458</v>
      </c>
      <c r="C67" s="52">
        <f>$C$77-TIME(3,30,0)</f>
        <v>0.64583333333333326</v>
      </c>
      <c r="D67" s="48"/>
      <c r="E67" s="52"/>
      <c r="F67" s="39" t="s">
        <v>257</v>
      </c>
      <c r="G67" s="18"/>
      <c r="H67" s="18"/>
      <c r="I67" s="18" t="s">
        <v>254</v>
      </c>
      <c r="J67" s="37"/>
      <c r="K67" s="37"/>
      <c r="L67" s="37"/>
      <c r="M67" s="37"/>
      <c r="N67" s="38"/>
      <c r="O67" s="38"/>
      <c r="P67" s="38"/>
      <c r="Q67" s="38"/>
      <c r="R67" s="38"/>
      <c r="S67"/>
      <c r="T67" s="4"/>
      <c r="U67" s="4"/>
    </row>
    <row r="68" spans="1:21" s="5" customFormat="1" x14ac:dyDescent="0.2">
      <c r="A68" s="48" t="s">
        <v>252</v>
      </c>
      <c r="B68" s="52">
        <f>$C$80-C68</f>
        <v>0.10902777777777783</v>
      </c>
      <c r="C68" s="52">
        <f>$C$77-TIME(2,30,0)</f>
        <v>0.6875</v>
      </c>
      <c r="D68" s="50">
        <f t="shared" ref="D68" si="15">E68-C68</f>
        <v>9.375E-2</v>
      </c>
      <c r="E68" s="52">
        <f>$C$77-TIME(0,15,0)</f>
        <v>0.78125</v>
      </c>
      <c r="F68" s="18" t="s">
        <v>365</v>
      </c>
      <c r="G68" s="18" t="s">
        <v>269</v>
      </c>
      <c r="H68" s="18"/>
      <c r="I68" s="18" t="s">
        <v>254</v>
      </c>
      <c r="J68" s="37"/>
      <c r="K68" s="37"/>
      <c r="L68" s="37"/>
      <c r="M68" s="37"/>
      <c r="N68" s="38"/>
      <c r="O68" s="38"/>
      <c r="P68" s="38"/>
      <c r="Q68" s="38"/>
      <c r="R68" s="38" t="s">
        <v>256</v>
      </c>
      <c r="S68"/>
      <c r="T68" s="4"/>
      <c r="U68" s="4"/>
    </row>
    <row r="69" spans="1:21" s="5" customFormat="1" x14ac:dyDescent="0.2">
      <c r="A69" s="48" t="s">
        <v>252</v>
      </c>
      <c r="B69" s="52">
        <f>$C$80-C69</f>
        <v>8.8194444444444575E-2</v>
      </c>
      <c r="C69" s="52">
        <f>$C$77-TIME(2,0,0)</f>
        <v>0.70833333333333326</v>
      </c>
      <c r="D69" s="48"/>
      <c r="E69" s="52"/>
      <c r="F69" s="18" t="s">
        <v>473</v>
      </c>
      <c r="G69" s="18" t="s">
        <v>271</v>
      </c>
      <c r="H69" s="18"/>
      <c r="I69" s="18" t="s">
        <v>254</v>
      </c>
      <c r="J69" s="37"/>
      <c r="K69" s="37"/>
      <c r="L69" s="37"/>
      <c r="M69" s="37"/>
      <c r="N69" s="38"/>
      <c r="O69" s="38"/>
      <c r="P69" s="38"/>
      <c r="Q69" s="38"/>
      <c r="R69" s="38" t="s">
        <v>256</v>
      </c>
      <c r="S69"/>
      <c r="T69" s="4"/>
      <c r="U69" s="4"/>
    </row>
    <row r="70" spans="1:21" s="5" customFormat="1" x14ac:dyDescent="0.2">
      <c r="A70" s="48" t="s">
        <v>252</v>
      </c>
      <c r="B70" s="52">
        <f>$C$80-C70</f>
        <v>5.6944444444444575E-2</v>
      </c>
      <c r="C70" s="52">
        <f>$C$77-TIME(1,15,0)</f>
        <v>0.73958333333333326</v>
      </c>
      <c r="D70" s="48"/>
      <c r="E70" s="52"/>
      <c r="F70" s="18" t="s">
        <v>366</v>
      </c>
      <c r="G70" s="18" t="s">
        <v>271</v>
      </c>
      <c r="H70" s="18"/>
      <c r="I70" s="18" t="s">
        <v>254</v>
      </c>
      <c r="J70" s="37"/>
      <c r="K70" s="37"/>
      <c r="L70" s="37"/>
      <c r="M70" s="37"/>
      <c r="N70" s="38"/>
      <c r="O70" s="38"/>
      <c r="P70" s="38"/>
      <c r="Q70" s="38"/>
      <c r="R70" s="38" t="s">
        <v>256</v>
      </c>
      <c r="S70"/>
      <c r="T70" s="4"/>
      <c r="U70" s="4"/>
    </row>
    <row r="71" spans="1:21" s="5" customFormat="1" x14ac:dyDescent="0.2">
      <c r="A71" s="48" t="s">
        <v>252</v>
      </c>
      <c r="B71" s="52">
        <f>$C$80-C71</f>
        <v>4.6527777777777835E-2</v>
      </c>
      <c r="C71" s="52">
        <f>$C$77-TIME(1,0,0)</f>
        <v>0.75</v>
      </c>
      <c r="D71" s="48"/>
      <c r="E71" s="52"/>
      <c r="F71" s="18" t="s">
        <v>52</v>
      </c>
      <c r="G71" s="18" t="s">
        <v>271</v>
      </c>
      <c r="H71" s="18"/>
      <c r="I71" s="18" t="s">
        <v>254</v>
      </c>
      <c r="J71" s="37"/>
      <c r="K71" s="37"/>
      <c r="L71" s="37"/>
      <c r="M71" s="37"/>
      <c r="N71" s="38"/>
      <c r="O71" s="38"/>
      <c r="P71" s="38"/>
      <c r="Q71" s="38"/>
      <c r="R71" s="38" t="s">
        <v>256</v>
      </c>
      <c r="S71"/>
      <c r="T71" s="4"/>
      <c r="U71" s="4"/>
    </row>
    <row r="72" spans="1:21" s="5" customFormat="1" x14ac:dyDescent="0.2">
      <c r="A72" s="48" t="s">
        <v>252</v>
      </c>
      <c r="B72" s="52"/>
      <c r="C72" s="52"/>
      <c r="D72" s="48"/>
      <c r="E72" s="52"/>
      <c r="F72" s="20" t="s">
        <v>53</v>
      </c>
      <c r="G72" s="18"/>
      <c r="H72" s="18"/>
      <c r="I72" s="18" t="s">
        <v>254</v>
      </c>
      <c r="J72" s="37"/>
      <c r="K72" s="37"/>
      <c r="L72" s="37"/>
      <c r="M72" s="37"/>
      <c r="N72" s="38"/>
      <c r="O72" s="38"/>
      <c r="P72" s="38"/>
      <c r="Q72" s="38"/>
      <c r="R72" s="38" t="s">
        <v>256</v>
      </c>
      <c r="S72"/>
      <c r="T72" s="4"/>
      <c r="U72" s="4"/>
    </row>
    <row r="73" spans="1:21" s="5" customFormat="1" x14ac:dyDescent="0.2">
      <c r="A73" s="48" t="s">
        <v>252</v>
      </c>
      <c r="B73" s="52"/>
      <c r="C73" s="52"/>
      <c r="D73" s="48"/>
      <c r="E73" s="52"/>
      <c r="F73" s="18" t="s">
        <v>55</v>
      </c>
      <c r="G73" s="18" t="s">
        <v>39</v>
      </c>
      <c r="H73" s="18"/>
      <c r="I73" s="18" t="s">
        <v>254</v>
      </c>
      <c r="J73" s="37"/>
      <c r="K73" s="37"/>
      <c r="L73" s="37"/>
      <c r="M73" s="37"/>
      <c r="N73" s="38"/>
      <c r="O73" s="38"/>
      <c r="P73" s="38"/>
      <c r="Q73" s="38"/>
      <c r="R73" s="38" t="s">
        <v>256</v>
      </c>
      <c r="S73"/>
      <c r="T73" s="4"/>
      <c r="U73" s="4"/>
    </row>
    <row r="74" spans="1:21" s="5" customFormat="1" x14ac:dyDescent="0.2">
      <c r="A74" s="48" t="s">
        <v>252</v>
      </c>
      <c r="B74" s="52"/>
      <c r="C74" s="52"/>
      <c r="D74" s="48"/>
      <c r="E74" s="52">
        <v>0.75</v>
      </c>
      <c r="F74" s="62" t="s">
        <v>367</v>
      </c>
      <c r="G74" s="18" t="s">
        <v>266</v>
      </c>
      <c r="H74" s="18"/>
      <c r="I74" s="18" t="s">
        <v>254</v>
      </c>
      <c r="J74" s="37"/>
      <c r="K74" s="37"/>
      <c r="L74" s="37"/>
      <c r="M74" s="37"/>
      <c r="N74" s="38"/>
      <c r="O74" s="38"/>
      <c r="P74" s="38"/>
      <c r="Q74" s="38"/>
      <c r="R74" s="38" t="s">
        <v>256</v>
      </c>
      <c r="S74"/>
      <c r="T74" s="4"/>
      <c r="U74" s="4"/>
    </row>
    <row r="75" spans="1:21" s="5" customFormat="1" x14ac:dyDescent="0.2">
      <c r="A75" s="48" t="s">
        <v>252</v>
      </c>
      <c r="B75" s="52"/>
      <c r="C75" s="52"/>
      <c r="D75" s="48"/>
      <c r="E75" s="52">
        <f>$C$77-TIME(0,15,0)</f>
        <v>0.78125</v>
      </c>
      <c r="F75" s="18" t="s">
        <v>274</v>
      </c>
      <c r="G75" s="18" t="s">
        <v>269</v>
      </c>
      <c r="H75" s="18"/>
      <c r="I75" s="18" t="s">
        <v>254</v>
      </c>
      <c r="J75" s="37"/>
      <c r="K75" s="37"/>
      <c r="L75" s="37"/>
      <c r="M75" s="37"/>
      <c r="N75" s="38"/>
      <c r="O75" s="38"/>
      <c r="P75" s="38"/>
      <c r="Q75" s="38"/>
      <c r="R75" s="38" t="s">
        <v>256</v>
      </c>
      <c r="S75"/>
      <c r="T75" s="4"/>
      <c r="U75" s="4"/>
    </row>
    <row r="76" spans="1:21" s="5" customFormat="1" x14ac:dyDescent="0.2">
      <c r="A76" s="48" t="s">
        <v>252</v>
      </c>
      <c r="B76" s="52">
        <f>$C$80-C76</f>
        <v>1.5277777777777835E-2</v>
      </c>
      <c r="C76" s="52">
        <f>$C$77-TIME(0,15,0)</f>
        <v>0.78125</v>
      </c>
      <c r="D76" s="50">
        <f>E76-C76</f>
        <v>0.12847222222222221</v>
      </c>
      <c r="E76" s="52">
        <v>0.90972222222222221</v>
      </c>
      <c r="F76" s="18" t="s">
        <v>56</v>
      </c>
      <c r="G76" s="18" t="s">
        <v>269</v>
      </c>
      <c r="H76" s="18"/>
      <c r="I76" s="18" t="s">
        <v>254</v>
      </c>
      <c r="J76" s="37"/>
      <c r="K76" s="37"/>
      <c r="L76" s="37"/>
      <c r="M76" s="37"/>
      <c r="N76" s="38"/>
      <c r="O76" s="38"/>
      <c r="P76" s="38"/>
      <c r="Q76" s="38"/>
      <c r="R76" s="38" t="s">
        <v>256</v>
      </c>
      <c r="S76"/>
      <c r="T76" s="4"/>
      <c r="U76" s="4"/>
    </row>
    <row r="77" spans="1:21" s="5" customFormat="1" x14ac:dyDescent="0.2">
      <c r="A77" s="41" t="s">
        <v>252</v>
      </c>
      <c r="B77" s="53">
        <f>$C$80-C77</f>
        <v>4.8611111111112049E-3</v>
      </c>
      <c r="C77" s="65">
        <v>0.79166666666666663</v>
      </c>
      <c r="D77" s="41"/>
      <c r="E77" s="53"/>
      <c r="F77" s="31" t="s">
        <v>57</v>
      </c>
      <c r="G77" s="40"/>
      <c r="H77" s="40"/>
      <c r="I77" s="40" t="s">
        <v>254</v>
      </c>
      <c r="J77" s="40" t="s">
        <v>691</v>
      </c>
      <c r="K77" s="40"/>
      <c r="L77" s="108">
        <f t="shared" ref="L77:L107" si="16">C77</f>
        <v>0.79166666666666663</v>
      </c>
      <c r="M77" s="103"/>
      <c r="N77" s="41"/>
      <c r="O77" s="41" t="s">
        <v>256</v>
      </c>
      <c r="P77" s="41" t="s">
        <v>256</v>
      </c>
      <c r="Q77" s="41" t="s">
        <v>256</v>
      </c>
      <c r="R77" s="41" t="s">
        <v>256</v>
      </c>
      <c r="S77"/>
      <c r="T77" s="4"/>
      <c r="U77" s="4"/>
    </row>
    <row r="78" spans="1:21" s="5" customFormat="1" x14ac:dyDescent="0.2">
      <c r="A78" s="48" t="s">
        <v>252</v>
      </c>
      <c r="B78" s="52">
        <f>$C$80-C78</f>
        <v>3.4722222222222099E-3</v>
      </c>
      <c r="C78" s="52">
        <f>$C$80-TIME(0,5,0)</f>
        <v>0.79305555555555562</v>
      </c>
      <c r="D78" s="48"/>
      <c r="E78" s="52"/>
      <c r="F78" s="18" t="s">
        <v>275</v>
      </c>
      <c r="G78" s="18" t="s">
        <v>269</v>
      </c>
      <c r="H78" s="18"/>
      <c r="I78" s="18" t="s">
        <v>254</v>
      </c>
      <c r="J78" s="18" t="s">
        <v>691</v>
      </c>
      <c r="K78" s="37"/>
      <c r="L78" s="105">
        <f t="shared" si="16"/>
        <v>0.79305555555555562</v>
      </c>
      <c r="M78" s="105"/>
      <c r="N78" s="38"/>
      <c r="O78" s="38" t="s">
        <v>256</v>
      </c>
      <c r="P78" s="38" t="s">
        <v>256</v>
      </c>
      <c r="Q78" s="38" t="s">
        <v>256</v>
      </c>
      <c r="R78" s="38"/>
      <c r="S78"/>
      <c r="T78" s="4"/>
      <c r="U78" s="4"/>
    </row>
    <row r="79" spans="1:21" s="5" customFormat="1" x14ac:dyDescent="0.2">
      <c r="A79" s="48" t="s">
        <v>252</v>
      </c>
      <c r="B79" s="52">
        <f>$C$80-C79</f>
        <v>1.0416666666667185E-3</v>
      </c>
      <c r="C79" s="52">
        <f>$C$80-TIME(0,1,30)</f>
        <v>0.79548611111111112</v>
      </c>
      <c r="D79" s="52">
        <f>E79-C79</f>
        <v>1.0416666666667185E-3</v>
      </c>
      <c r="E79" s="52">
        <f>$C$80</f>
        <v>0.79652777777777783</v>
      </c>
      <c r="F79" s="18" t="s">
        <v>277</v>
      </c>
      <c r="G79" s="18" t="s">
        <v>39</v>
      </c>
      <c r="H79" s="18"/>
      <c r="I79" s="18" t="s">
        <v>254</v>
      </c>
      <c r="J79" s="18" t="s">
        <v>691</v>
      </c>
      <c r="K79" s="37"/>
      <c r="L79" s="105">
        <f t="shared" si="16"/>
        <v>0.79548611111111112</v>
      </c>
      <c r="M79" s="105">
        <f t="shared" ref="M79:M105" si="17">E79</f>
        <v>0.79652777777777783</v>
      </c>
      <c r="N79" s="38"/>
      <c r="O79" s="38" t="s">
        <v>256</v>
      </c>
      <c r="P79" s="38" t="s">
        <v>256</v>
      </c>
      <c r="Q79" s="38" t="s">
        <v>256</v>
      </c>
      <c r="R79" s="38"/>
      <c r="S79"/>
      <c r="T79" s="4"/>
      <c r="U79" s="4"/>
    </row>
    <row r="80" spans="1:21" s="5" customFormat="1" x14ac:dyDescent="0.2">
      <c r="A80" s="43"/>
      <c r="B80" s="43"/>
      <c r="C80" s="57">
        <v>0.79652777777777783</v>
      </c>
      <c r="D80" s="43"/>
      <c r="E80" s="54"/>
      <c r="F80" s="32" t="s">
        <v>60</v>
      </c>
      <c r="G80" s="42"/>
      <c r="H80" s="42"/>
      <c r="I80" s="42" t="s">
        <v>254</v>
      </c>
      <c r="J80" s="42" t="s">
        <v>691</v>
      </c>
      <c r="K80" s="42"/>
      <c r="L80" s="104">
        <f t="shared" si="16"/>
        <v>0.79652777777777783</v>
      </c>
      <c r="M80" s="104"/>
      <c r="N80" s="43"/>
      <c r="O80" s="43" t="s">
        <v>256</v>
      </c>
      <c r="P80" s="43" t="s">
        <v>256</v>
      </c>
      <c r="Q80" s="43" t="s">
        <v>256</v>
      </c>
      <c r="R80" s="43" t="s">
        <v>256</v>
      </c>
      <c r="S80"/>
      <c r="T80" s="4"/>
      <c r="U80" s="4"/>
    </row>
    <row r="81" spans="1:21" s="5" customFormat="1" x14ac:dyDescent="0.2">
      <c r="A81" s="48" t="s">
        <v>279</v>
      </c>
      <c r="B81" s="52">
        <f>C81-$C$80</f>
        <v>0</v>
      </c>
      <c r="C81" s="52">
        <f>'[1]Day 4-F '!$C$11</f>
        <v>0.79652777777777783</v>
      </c>
      <c r="D81" s="50">
        <f t="shared" ref="D81:D108" si="18">E81-C81</f>
        <v>4.2824074074074847E-3</v>
      </c>
      <c r="E81" s="52">
        <f>C82</f>
        <v>0.80081018518518532</v>
      </c>
      <c r="F81" s="7" t="s">
        <v>692</v>
      </c>
      <c r="G81" s="18" t="s">
        <v>269</v>
      </c>
      <c r="H81" s="18"/>
      <c r="I81" s="18" t="s">
        <v>254</v>
      </c>
      <c r="J81" s="18" t="s">
        <v>691</v>
      </c>
      <c r="K81" s="61" t="s">
        <v>693</v>
      </c>
      <c r="L81" s="111">
        <f t="shared" si="16"/>
        <v>0.79652777777777783</v>
      </c>
      <c r="M81" s="110">
        <f t="shared" si="17"/>
        <v>0.80081018518518532</v>
      </c>
      <c r="N81" s="38"/>
      <c r="O81" s="38" t="s">
        <v>256</v>
      </c>
      <c r="P81" s="38" t="s">
        <v>256</v>
      </c>
      <c r="Q81" s="38" t="s">
        <v>256</v>
      </c>
      <c r="R81" s="38"/>
      <c r="S81"/>
      <c r="T81" s="4"/>
      <c r="U81" s="4"/>
    </row>
    <row r="82" spans="1:21" s="5" customFormat="1" x14ac:dyDescent="0.2">
      <c r="A82" s="48" t="s">
        <v>279</v>
      </c>
      <c r="B82" s="52">
        <f t="shared" ref="B82:B105" si="19">C82-$C$80</f>
        <v>4.2824074074074847E-3</v>
      </c>
      <c r="C82" s="52">
        <f>'[1]Day 4-F '!$C$15</f>
        <v>0.80081018518518532</v>
      </c>
      <c r="D82" s="50">
        <f t="shared" si="18"/>
        <v>5.3587962962964308E-3</v>
      </c>
      <c r="E82" s="52">
        <f t="shared" ref="E82:E105" si="20">C83</f>
        <v>0.80616898148148175</v>
      </c>
      <c r="F82" s="7" t="s">
        <v>694</v>
      </c>
      <c r="G82" s="18" t="s">
        <v>269</v>
      </c>
      <c r="H82" s="18"/>
      <c r="I82" s="18" t="s">
        <v>254</v>
      </c>
      <c r="J82" s="18" t="s">
        <v>691</v>
      </c>
      <c r="K82" s="61" t="s">
        <v>695</v>
      </c>
      <c r="L82" s="111">
        <f t="shared" si="16"/>
        <v>0.80081018518518532</v>
      </c>
      <c r="M82" s="110">
        <f t="shared" si="17"/>
        <v>0.80616898148148175</v>
      </c>
      <c r="N82" s="38"/>
      <c r="O82" s="38" t="s">
        <v>256</v>
      </c>
      <c r="P82" s="38" t="s">
        <v>256</v>
      </c>
      <c r="Q82" s="38" t="s">
        <v>256</v>
      </c>
      <c r="R82" s="38"/>
      <c r="S82"/>
      <c r="T82" s="4"/>
      <c r="U82" s="4"/>
    </row>
    <row r="83" spans="1:21" s="5" customFormat="1" x14ac:dyDescent="0.2">
      <c r="A83" s="48" t="s">
        <v>279</v>
      </c>
      <c r="B83" s="52">
        <f t="shared" si="19"/>
        <v>9.6412037037039156E-3</v>
      </c>
      <c r="C83" s="52">
        <f>'[1]Day 4-F '!$C$19</f>
        <v>0.80616898148148175</v>
      </c>
      <c r="D83" s="50">
        <f t="shared" si="18"/>
        <v>3.7037037037037646E-3</v>
      </c>
      <c r="E83" s="52">
        <f t="shared" si="20"/>
        <v>0.80987268518518551</v>
      </c>
      <c r="F83" s="18" t="s">
        <v>696</v>
      </c>
      <c r="G83" s="18" t="s">
        <v>269</v>
      </c>
      <c r="H83" s="18"/>
      <c r="I83" s="18" t="s">
        <v>254</v>
      </c>
      <c r="J83" s="18" t="s">
        <v>691</v>
      </c>
      <c r="K83" s="61" t="s">
        <v>697</v>
      </c>
      <c r="L83" s="111">
        <f t="shared" si="16"/>
        <v>0.80616898148148175</v>
      </c>
      <c r="M83" s="110">
        <f t="shared" si="17"/>
        <v>0.80987268518518551</v>
      </c>
      <c r="N83" s="38"/>
      <c r="O83" s="38" t="s">
        <v>256</v>
      </c>
      <c r="P83" s="38" t="s">
        <v>256</v>
      </c>
      <c r="Q83" s="38" t="s">
        <v>256</v>
      </c>
      <c r="R83" s="38"/>
      <c r="S83"/>
      <c r="T83" s="4"/>
      <c r="U83" s="4"/>
    </row>
    <row r="84" spans="1:21" s="5" customFormat="1" x14ac:dyDescent="0.2">
      <c r="A84" s="48" t="s">
        <v>279</v>
      </c>
      <c r="B84" s="52">
        <f t="shared" si="19"/>
        <v>1.334490740740768E-2</v>
      </c>
      <c r="C84" s="52">
        <f>'[1]Day 4-F '!$C$23</f>
        <v>0.80987268518518551</v>
      </c>
      <c r="D84" s="50">
        <f t="shared" si="18"/>
        <v>3.5300925925926263E-3</v>
      </c>
      <c r="E84" s="52">
        <f t="shared" si="20"/>
        <v>0.81340277777777814</v>
      </c>
      <c r="F84" s="18" t="s">
        <v>698</v>
      </c>
      <c r="G84" s="18" t="s">
        <v>269</v>
      </c>
      <c r="H84" s="18"/>
      <c r="I84" s="18" t="s">
        <v>254</v>
      </c>
      <c r="J84" s="18" t="s">
        <v>691</v>
      </c>
      <c r="K84" s="44" t="s">
        <v>699</v>
      </c>
      <c r="L84" s="111">
        <f t="shared" si="16"/>
        <v>0.80987268518518551</v>
      </c>
      <c r="M84" s="110">
        <f t="shared" si="17"/>
        <v>0.81340277777777814</v>
      </c>
      <c r="N84" s="38"/>
      <c r="O84" s="38" t="s">
        <v>256</v>
      </c>
      <c r="P84" s="38" t="s">
        <v>256</v>
      </c>
      <c r="Q84" s="38" t="s">
        <v>256</v>
      </c>
      <c r="R84" s="38"/>
      <c r="S84"/>
      <c r="T84" s="4"/>
      <c r="U84" s="4"/>
    </row>
    <row r="85" spans="1:21" s="5" customFormat="1" x14ac:dyDescent="0.2">
      <c r="A85" s="48" t="s">
        <v>279</v>
      </c>
      <c r="B85" s="52">
        <f t="shared" si="19"/>
        <v>1.6875000000000306E-2</v>
      </c>
      <c r="C85" s="52">
        <f>'[1]Day 4-F '!$C$27</f>
        <v>0.81340277777777814</v>
      </c>
      <c r="D85" s="50">
        <f t="shared" si="18"/>
        <v>4.0277777777778523E-3</v>
      </c>
      <c r="E85" s="52">
        <f t="shared" si="20"/>
        <v>0.81743055555555599</v>
      </c>
      <c r="F85" s="18" t="s">
        <v>700</v>
      </c>
      <c r="G85" s="18" t="s">
        <v>269</v>
      </c>
      <c r="H85" s="18"/>
      <c r="I85" s="18" t="s">
        <v>254</v>
      </c>
      <c r="J85" s="18" t="s">
        <v>691</v>
      </c>
      <c r="K85" s="44" t="s">
        <v>701</v>
      </c>
      <c r="L85" s="111">
        <f t="shared" si="16"/>
        <v>0.81340277777777814</v>
      </c>
      <c r="M85" s="110">
        <f t="shared" si="17"/>
        <v>0.81743055555555599</v>
      </c>
      <c r="N85" s="38"/>
      <c r="O85" s="38" t="s">
        <v>256</v>
      </c>
      <c r="P85" s="38" t="s">
        <v>256</v>
      </c>
      <c r="Q85" s="38" t="s">
        <v>256</v>
      </c>
      <c r="R85" s="38"/>
      <c r="S85"/>
      <c r="T85" s="4"/>
      <c r="U85" s="4"/>
    </row>
    <row r="86" spans="1:21" s="5" customFormat="1" x14ac:dyDescent="0.2">
      <c r="A86" s="48" t="s">
        <v>279</v>
      </c>
      <c r="B86" s="52">
        <f t="shared" si="19"/>
        <v>2.0902777777778159E-2</v>
      </c>
      <c r="C86" s="52">
        <f>'[1]Day 4-F '!$C$31</f>
        <v>0.81743055555555599</v>
      </c>
      <c r="D86" s="50">
        <f t="shared" si="18"/>
        <v>3.854166666666714E-3</v>
      </c>
      <c r="E86" s="52">
        <f t="shared" si="20"/>
        <v>0.82128472222222271</v>
      </c>
      <c r="F86" s="18" t="s">
        <v>702</v>
      </c>
      <c r="G86" s="18" t="s">
        <v>269</v>
      </c>
      <c r="H86" s="18"/>
      <c r="I86" s="18" t="s">
        <v>254</v>
      </c>
      <c r="J86" s="18" t="s">
        <v>691</v>
      </c>
      <c r="K86" s="44" t="s">
        <v>703</v>
      </c>
      <c r="L86" s="111">
        <f t="shared" si="16"/>
        <v>0.81743055555555599</v>
      </c>
      <c r="M86" s="110">
        <f t="shared" si="17"/>
        <v>0.82128472222222271</v>
      </c>
      <c r="N86" s="38"/>
      <c r="O86" s="38" t="s">
        <v>256</v>
      </c>
      <c r="P86" s="38" t="s">
        <v>256</v>
      </c>
      <c r="Q86" s="38" t="s">
        <v>256</v>
      </c>
      <c r="R86" s="38"/>
      <c r="S86"/>
      <c r="T86" s="4"/>
      <c r="U86" s="4"/>
    </row>
    <row r="87" spans="1:21" s="5" customFormat="1" x14ac:dyDescent="0.2">
      <c r="A87" s="48" t="s">
        <v>279</v>
      </c>
      <c r="B87" s="52">
        <f t="shared" si="19"/>
        <v>2.4756944444444873E-2</v>
      </c>
      <c r="C87" s="52">
        <f>'[1]Day 4-F '!$C$35</f>
        <v>0.82128472222222271</v>
      </c>
      <c r="D87" s="50">
        <f t="shared" si="18"/>
        <v>5.2083333333333703E-3</v>
      </c>
      <c r="E87" s="52">
        <f t="shared" si="20"/>
        <v>0.82649305555555608</v>
      </c>
      <c r="F87" s="34" t="s">
        <v>704</v>
      </c>
      <c r="G87" s="18" t="s">
        <v>269</v>
      </c>
      <c r="H87" s="18"/>
      <c r="I87" s="18" t="s">
        <v>254</v>
      </c>
      <c r="J87" s="18" t="s">
        <v>691</v>
      </c>
      <c r="K87" s="44" t="s">
        <v>705</v>
      </c>
      <c r="L87" s="111">
        <f t="shared" si="16"/>
        <v>0.82128472222222271</v>
      </c>
      <c r="M87" s="110">
        <f t="shared" si="17"/>
        <v>0.82649305555555608</v>
      </c>
      <c r="N87" s="38"/>
      <c r="O87" s="38" t="s">
        <v>256</v>
      </c>
      <c r="P87" s="38" t="s">
        <v>256</v>
      </c>
      <c r="Q87" s="38" t="s">
        <v>256</v>
      </c>
      <c r="R87" s="38"/>
      <c r="S87"/>
      <c r="T87" s="4"/>
      <c r="U87" s="4"/>
    </row>
    <row r="88" spans="1:21" s="5" customFormat="1" x14ac:dyDescent="0.2">
      <c r="A88" s="48" t="s">
        <v>279</v>
      </c>
      <c r="B88" s="52">
        <f t="shared" si="19"/>
        <v>2.9965277777778243E-2</v>
      </c>
      <c r="C88" s="52">
        <f>'[1]Day 4-F '!$C$36</f>
        <v>0.82649305555555608</v>
      </c>
      <c r="D88" s="50">
        <f t="shared" si="18"/>
        <v>5.2083333333333703E-3</v>
      </c>
      <c r="E88" s="52">
        <f t="shared" si="20"/>
        <v>0.83170138888888945</v>
      </c>
      <c r="F88" s="34" t="s">
        <v>706</v>
      </c>
      <c r="G88" s="18" t="s">
        <v>269</v>
      </c>
      <c r="H88" s="18"/>
      <c r="I88" s="18" t="s">
        <v>254</v>
      </c>
      <c r="J88" s="18" t="s">
        <v>691</v>
      </c>
      <c r="K88" s="44" t="s">
        <v>707</v>
      </c>
      <c r="L88" s="111">
        <f t="shared" si="16"/>
        <v>0.82649305555555608</v>
      </c>
      <c r="M88" s="110">
        <f t="shared" si="17"/>
        <v>0.83170138888888945</v>
      </c>
      <c r="N88" s="38"/>
      <c r="O88" s="38" t="s">
        <v>256</v>
      </c>
      <c r="P88" s="38" t="s">
        <v>256</v>
      </c>
      <c r="Q88" s="38" t="s">
        <v>256</v>
      </c>
      <c r="R88" s="38"/>
      <c r="S88"/>
      <c r="T88" s="4"/>
      <c r="U88" s="4"/>
    </row>
    <row r="89" spans="1:21" s="5" customFormat="1" x14ac:dyDescent="0.2">
      <c r="A89" s="48" t="s">
        <v>279</v>
      </c>
      <c r="B89" s="52">
        <f t="shared" si="19"/>
        <v>3.5173611111111613E-2</v>
      </c>
      <c r="C89" s="52">
        <f>'[1]Day 4-F '!$C$37</f>
        <v>0.83170138888888945</v>
      </c>
      <c r="D89" s="50">
        <f t="shared" si="18"/>
        <v>4.0046296296296635E-3</v>
      </c>
      <c r="E89" s="52">
        <f t="shared" si="20"/>
        <v>0.83570601851851911</v>
      </c>
      <c r="F89" s="18" t="s">
        <v>708</v>
      </c>
      <c r="G89" s="18" t="s">
        <v>269</v>
      </c>
      <c r="H89" s="18"/>
      <c r="I89" s="18" t="s">
        <v>254</v>
      </c>
      <c r="J89" s="18" t="s">
        <v>691</v>
      </c>
      <c r="K89" s="44" t="str">
        <f>[2]EVENT_UNIT!$A$6897</f>
        <v>SWMM100MBF------------SFNL000100--</v>
      </c>
      <c r="L89" s="111">
        <f t="shared" si="16"/>
        <v>0.83170138888888945</v>
      </c>
      <c r="M89" s="110">
        <f t="shared" si="17"/>
        <v>0.83570601851851911</v>
      </c>
      <c r="N89" s="38"/>
      <c r="O89" s="38" t="s">
        <v>256</v>
      </c>
      <c r="P89" s="38" t="s">
        <v>256</v>
      </c>
      <c r="Q89" s="38" t="s">
        <v>256</v>
      </c>
      <c r="R89" s="38"/>
      <c r="S89"/>
      <c r="T89" s="4"/>
      <c r="U89" s="4"/>
    </row>
    <row r="90" spans="1:21" s="5" customFormat="1" x14ac:dyDescent="0.2">
      <c r="A90" s="48" t="s">
        <v>279</v>
      </c>
      <c r="B90" s="52">
        <f t="shared" si="19"/>
        <v>3.9178240740741277E-2</v>
      </c>
      <c r="C90" s="52">
        <f>'[1]Day 4-F '!$C$41</f>
        <v>0.83570601851851911</v>
      </c>
      <c r="D90" s="50">
        <f t="shared" si="18"/>
        <v>3.8310185185185253E-3</v>
      </c>
      <c r="E90" s="52">
        <f t="shared" si="20"/>
        <v>0.83953703703703764</v>
      </c>
      <c r="F90" s="18" t="s">
        <v>709</v>
      </c>
      <c r="G90" s="18" t="s">
        <v>269</v>
      </c>
      <c r="H90" s="18"/>
      <c r="I90" s="18" t="s">
        <v>254</v>
      </c>
      <c r="J90" s="18" t="s">
        <v>691</v>
      </c>
      <c r="K90" s="44" t="s">
        <v>710</v>
      </c>
      <c r="L90" s="111">
        <f t="shared" si="16"/>
        <v>0.83570601851851911</v>
      </c>
      <c r="M90" s="110">
        <f t="shared" si="17"/>
        <v>0.83953703703703764</v>
      </c>
      <c r="N90" s="38"/>
      <c r="O90" s="38" t="s">
        <v>256</v>
      </c>
      <c r="P90" s="38" t="s">
        <v>256</v>
      </c>
      <c r="Q90" s="38" t="s">
        <v>256</v>
      </c>
      <c r="R90" s="38"/>
      <c r="S90"/>
      <c r="T90" s="4"/>
      <c r="U90" s="4"/>
    </row>
    <row r="91" spans="1:21" s="5" customFormat="1" x14ac:dyDescent="0.2">
      <c r="A91" s="48" t="s">
        <v>279</v>
      </c>
      <c r="B91" s="52">
        <f t="shared" si="19"/>
        <v>4.3009259259259802E-2</v>
      </c>
      <c r="C91" s="52">
        <f>'[1]Day 4-F '!$C$45</f>
        <v>0.83953703703703764</v>
      </c>
      <c r="D91" s="50">
        <f t="shared" si="18"/>
        <v>5.2662037037037868E-3</v>
      </c>
      <c r="E91" s="52">
        <f t="shared" si="20"/>
        <v>0.84480324074074142</v>
      </c>
      <c r="F91" s="7" t="s">
        <v>711</v>
      </c>
      <c r="G91" s="18" t="s">
        <v>269</v>
      </c>
      <c r="H91" s="18"/>
      <c r="I91" s="18" t="s">
        <v>254</v>
      </c>
      <c r="J91" s="18" t="s">
        <v>691</v>
      </c>
      <c r="K91" s="18" t="s">
        <v>712</v>
      </c>
      <c r="L91" s="112">
        <f t="shared" si="16"/>
        <v>0.83953703703703764</v>
      </c>
      <c r="M91" s="110">
        <f t="shared" si="17"/>
        <v>0.84480324074074142</v>
      </c>
      <c r="N91" s="38"/>
      <c r="O91" s="38" t="s">
        <v>256</v>
      </c>
      <c r="P91" s="38" t="s">
        <v>256</v>
      </c>
      <c r="Q91" s="38" t="s">
        <v>256</v>
      </c>
      <c r="R91" s="38"/>
      <c r="S91"/>
      <c r="T91" s="4"/>
      <c r="U91" s="4"/>
    </row>
    <row r="92" spans="1:21" s="5" customFormat="1" x14ac:dyDescent="0.2">
      <c r="A92" s="48" t="s">
        <v>279</v>
      </c>
      <c r="B92" s="52">
        <f t="shared" si="19"/>
        <v>4.8275462962963589E-2</v>
      </c>
      <c r="C92" s="52">
        <f>'[1]Day 4-F '!$C$49</f>
        <v>0.84480324074074142</v>
      </c>
      <c r="D92" s="50">
        <f t="shared" si="18"/>
        <v>4.2824074074074847E-3</v>
      </c>
      <c r="E92" s="52">
        <f t="shared" si="20"/>
        <v>0.84908564814814891</v>
      </c>
      <c r="F92" s="7" t="s">
        <v>713</v>
      </c>
      <c r="G92" s="18" t="s">
        <v>269</v>
      </c>
      <c r="H92" s="18"/>
      <c r="I92" s="18" t="s">
        <v>254</v>
      </c>
      <c r="J92" s="18" t="s">
        <v>691</v>
      </c>
      <c r="K92" s="18" t="s">
        <v>714</v>
      </c>
      <c r="L92" s="112">
        <f t="shared" si="16"/>
        <v>0.84480324074074142</v>
      </c>
      <c r="M92" s="110">
        <f t="shared" si="17"/>
        <v>0.84908564814814891</v>
      </c>
      <c r="N92" s="38"/>
      <c r="O92" s="38" t="s">
        <v>256</v>
      </c>
      <c r="P92" s="38" t="s">
        <v>256</v>
      </c>
      <c r="Q92" s="38" t="s">
        <v>256</v>
      </c>
      <c r="R92" s="38"/>
      <c r="S92"/>
      <c r="T92" s="4"/>
      <c r="U92" s="4"/>
    </row>
    <row r="93" spans="1:21" s="5" customFormat="1" x14ac:dyDescent="0.2">
      <c r="A93" s="48" t="s">
        <v>279</v>
      </c>
      <c r="B93" s="52">
        <f t="shared" si="19"/>
        <v>5.2557870370371074E-2</v>
      </c>
      <c r="C93" s="52">
        <f>'[1]Day 4-F '!$C$53</f>
        <v>0.84908564814814891</v>
      </c>
      <c r="D93" s="50">
        <f t="shared" si="18"/>
        <v>5.2083333333334814E-3</v>
      </c>
      <c r="E93" s="52">
        <f t="shared" si="20"/>
        <v>0.85429398148148239</v>
      </c>
      <c r="F93" s="7" t="s">
        <v>715</v>
      </c>
      <c r="G93" s="18" t="s">
        <v>269</v>
      </c>
      <c r="H93" s="18"/>
      <c r="I93" s="18" t="s">
        <v>254</v>
      </c>
      <c r="J93" s="18" t="s">
        <v>691</v>
      </c>
      <c r="K93" s="18" t="s">
        <v>716</v>
      </c>
      <c r="L93" s="112">
        <f t="shared" si="16"/>
        <v>0.84908564814814891</v>
      </c>
      <c r="M93" s="110">
        <f t="shared" si="17"/>
        <v>0.85429398148148239</v>
      </c>
      <c r="N93" s="38"/>
      <c r="O93" s="38" t="s">
        <v>256</v>
      </c>
      <c r="P93" s="38" t="s">
        <v>256</v>
      </c>
      <c r="Q93" s="38" t="s">
        <v>256</v>
      </c>
      <c r="R93" s="38"/>
      <c r="S93"/>
      <c r="T93" s="4"/>
      <c r="U93" s="4"/>
    </row>
    <row r="94" spans="1:21" s="5" customFormat="1" x14ac:dyDescent="0.2">
      <c r="A94" s="48" t="s">
        <v>279</v>
      </c>
      <c r="B94" s="52">
        <f t="shared" si="19"/>
        <v>5.7766203703704555E-2</v>
      </c>
      <c r="C94" s="52">
        <f>'[1]Day 4-F '!$C$57</f>
        <v>0.85429398148148239</v>
      </c>
      <c r="D94" s="50">
        <f t="shared" si="18"/>
        <v>5.2083333333333703E-3</v>
      </c>
      <c r="E94" s="52">
        <f t="shared" si="20"/>
        <v>0.85950231481481576</v>
      </c>
      <c r="F94" s="34" t="s">
        <v>717</v>
      </c>
      <c r="G94" s="18" t="s">
        <v>269</v>
      </c>
      <c r="H94" s="18"/>
      <c r="I94" s="18" t="s">
        <v>254</v>
      </c>
      <c r="J94" s="18" t="s">
        <v>691</v>
      </c>
      <c r="K94" s="18" t="s">
        <v>718</v>
      </c>
      <c r="L94" s="112">
        <f t="shared" si="16"/>
        <v>0.85429398148148239</v>
      </c>
      <c r="M94" s="110">
        <f t="shared" si="17"/>
        <v>0.85950231481481576</v>
      </c>
      <c r="N94" s="38"/>
      <c r="O94" s="38" t="s">
        <v>256</v>
      </c>
      <c r="P94" s="38" t="s">
        <v>256</v>
      </c>
      <c r="Q94" s="38" t="s">
        <v>256</v>
      </c>
      <c r="R94" s="38"/>
      <c r="S94"/>
      <c r="T94" s="4"/>
      <c r="U94" s="4"/>
    </row>
    <row r="95" spans="1:21" s="5" customFormat="1" x14ac:dyDescent="0.2">
      <c r="A95" s="48" t="s">
        <v>279</v>
      </c>
      <c r="B95" s="52">
        <f t="shared" si="19"/>
        <v>6.2974537037037925E-2</v>
      </c>
      <c r="C95" s="52">
        <f>'[1]Day 4-F '!$C$58</f>
        <v>0.85950231481481576</v>
      </c>
      <c r="D95" s="50">
        <f t="shared" si="18"/>
        <v>4.1203703703704964E-3</v>
      </c>
      <c r="E95" s="52">
        <f t="shared" si="20"/>
        <v>0.86362268518518626</v>
      </c>
      <c r="F95" s="7" t="s">
        <v>719</v>
      </c>
      <c r="G95" s="18" t="s">
        <v>269</v>
      </c>
      <c r="H95" s="18"/>
      <c r="I95" s="18" t="s">
        <v>254</v>
      </c>
      <c r="J95" s="18" t="s">
        <v>691</v>
      </c>
      <c r="K95" s="18" t="s">
        <v>720</v>
      </c>
      <c r="L95" s="112">
        <f t="shared" si="16"/>
        <v>0.85950231481481576</v>
      </c>
      <c r="M95" s="110">
        <f t="shared" si="17"/>
        <v>0.86362268518518626</v>
      </c>
      <c r="N95" s="38"/>
      <c r="O95" s="38" t="s">
        <v>256</v>
      </c>
      <c r="P95" s="38" t="s">
        <v>256</v>
      </c>
      <c r="Q95" s="38" t="s">
        <v>256</v>
      </c>
      <c r="R95" s="38"/>
      <c r="S95"/>
      <c r="T95" s="4"/>
      <c r="U95" s="4"/>
    </row>
    <row r="96" spans="1:21" s="5" customFormat="1" x14ac:dyDescent="0.2">
      <c r="A96" s="48" t="s">
        <v>279</v>
      </c>
      <c r="B96" s="52">
        <f t="shared" si="19"/>
        <v>6.7094907407408422E-2</v>
      </c>
      <c r="C96" s="52">
        <f>'[1]Day 4-F '!$C$62</f>
        <v>0.86362268518518626</v>
      </c>
      <c r="D96" s="50">
        <f t="shared" si="18"/>
        <v>4.0277777777778523E-3</v>
      </c>
      <c r="E96" s="52">
        <f t="shared" si="20"/>
        <v>0.86765046296296411</v>
      </c>
      <c r="F96" s="7" t="s">
        <v>721</v>
      </c>
      <c r="G96" s="18" t="s">
        <v>269</v>
      </c>
      <c r="H96" s="18"/>
      <c r="I96" s="18" t="s">
        <v>254</v>
      </c>
      <c r="J96" s="18" t="s">
        <v>691</v>
      </c>
      <c r="K96" s="18" t="s">
        <v>722</v>
      </c>
      <c r="L96" s="112">
        <f t="shared" si="16"/>
        <v>0.86362268518518626</v>
      </c>
      <c r="M96" s="110">
        <f t="shared" si="17"/>
        <v>0.86765046296296411</v>
      </c>
      <c r="N96" s="38"/>
      <c r="O96" s="38" t="s">
        <v>256</v>
      </c>
      <c r="P96" s="38" t="s">
        <v>256</v>
      </c>
      <c r="Q96" s="38" t="s">
        <v>256</v>
      </c>
      <c r="R96" s="38"/>
      <c r="S96"/>
      <c r="T96" s="4"/>
      <c r="U96" s="4"/>
    </row>
    <row r="97" spans="1:21" s="5" customFormat="1" x14ac:dyDescent="0.2">
      <c r="A97" s="48" t="s">
        <v>279</v>
      </c>
      <c r="B97" s="52">
        <f t="shared" si="19"/>
        <v>7.1122685185186274E-2</v>
      </c>
      <c r="C97" s="52">
        <f>'[1]Day 4-F '!$C$66</f>
        <v>0.86765046296296411</v>
      </c>
      <c r="D97" s="50">
        <f t="shared" si="18"/>
        <v>5.2083333333333703E-3</v>
      </c>
      <c r="E97" s="52">
        <f t="shared" si="20"/>
        <v>0.87285879629629748</v>
      </c>
      <c r="F97" s="34" t="s">
        <v>723</v>
      </c>
      <c r="G97" s="18" t="s">
        <v>269</v>
      </c>
      <c r="H97" s="18"/>
      <c r="I97" s="18" t="s">
        <v>254</v>
      </c>
      <c r="J97" s="18" t="s">
        <v>691</v>
      </c>
      <c r="K97" s="18" t="s">
        <v>724</v>
      </c>
      <c r="L97" s="112">
        <f t="shared" si="16"/>
        <v>0.86765046296296411</v>
      </c>
      <c r="M97" s="110">
        <f t="shared" si="17"/>
        <v>0.87285879629629748</v>
      </c>
      <c r="N97" s="38"/>
      <c r="O97" s="38" t="s">
        <v>256</v>
      </c>
      <c r="P97" s="38" t="s">
        <v>256</v>
      </c>
      <c r="Q97" s="38" t="s">
        <v>256</v>
      </c>
      <c r="R97" s="38"/>
      <c r="S97"/>
      <c r="T97" s="4"/>
      <c r="U97" s="4"/>
    </row>
    <row r="98" spans="1:21" s="5" customFormat="1" x14ac:dyDescent="0.2">
      <c r="A98" s="48" t="s">
        <v>279</v>
      </c>
      <c r="B98" s="52">
        <f t="shared" si="19"/>
        <v>7.6331018518519644E-2</v>
      </c>
      <c r="C98" s="52">
        <f>'[1]Day 4-F '!$C$67</f>
        <v>0.87285879629629748</v>
      </c>
      <c r="D98" s="50">
        <f t="shared" si="18"/>
        <v>5.2083333333333703E-3</v>
      </c>
      <c r="E98" s="52">
        <f t="shared" si="20"/>
        <v>0.87806712962963085</v>
      </c>
      <c r="F98" s="34" t="s">
        <v>725</v>
      </c>
      <c r="G98" s="18" t="s">
        <v>269</v>
      </c>
      <c r="H98" s="18"/>
      <c r="I98" s="18" t="s">
        <v>254</v>
      </c>
      <c r="J98" s="18" t="s">
        <v>691</v>
      </c>
      <c r="K98" s="18" t="s">
        <v>726</v>
      </c>
      <c r="L98" s="112">
        <f t="shared" si="16"/>
        <v>0.87285879629629748</v>
      </c>
      <c r="M98" s="110">
        <f t="shared" si="17"/>
        <v>0.87806712962963085</v>
      </c>
      <c r="N98" s="38"/>
      <c r="O98" s="38" t="s">
        <v>256</v>
      </c>
      <c r="P98" s="38" t="s">
        <v>256</v>
      </c>
      <c r="Q98" s="38" t="s">
        <v>256</v>
      </c>
      <c r="R98" s="38"/>
      <c r="S98"/>
      <c r="T98" s="4"/>
      <c r="U98" s="4"/>
    </row>
    <row r="99" spans="1:21" s="5" customFormat="1" x14ac:dyDescent="0.2">
      <c r="A99" s="48" t="s">
        <v>279</v>
      </c>
      <c r="B99" s="52">
        <f t="shared" si="19"/>
        <v>8.1539351851853015E-2</v>
      </c>
      <c r="C99" s="52">
        <f>'[1]Day 4-F '!$C$68</f>
        <v>0.87806712962963085</v>
      </c>
      <c r="D99" s="50">
        <f t="shared" si="18"/>
        <v>4.155092592592613E-3</v>
      </c>
      <c r="E99" s="52">
        <f t="shared" si="20"/>
        <v>0.88222222222222346</v>
      </c>
      <c r="F99" s="18" t="s">
        <v>1082</v>
      </c>
      <c r="G99" s="18" t="s">
        <v>269</v>
      </c>
      <c r="H99" s="18"/>
      <c r="I99" s="18" t="s">
        <v>254</v>
      </c>
      <c r="J99" s="18" t="s">
        <v>691</v>
      </c>
      <c r="K99" s="18" t="s">
        <v>1084</v>
      </c>
      <c r="L99" s="112">
        <f t="shared" si="16"/>
        <v>0.87806712962963085</v>
      </c>
      <c r="M99" s="110">
        <f t="shared" si="17"/>
        <v>0.88222222222222346</v>
      </c>
      <c r="N99" s="38"/>
      <c r="O99" s="38" t="s">
        <v>256</v>
      </c>
      <c r="P99" s="38" t="s">
        <v>256</v>
      </c>
      <c r="Q99" s="38" t="s">
        <v>256</v>
      </c>
      <c r="R99" s="38"/>
      <c r="S99"/>
      <c r="T99" s="4"/>
      <c r="U99" s="4"/>
    </row>
    <row r="100" spans="1:21" s="5" customFormat="1" x14ac:dyDescent="0.2">
      <c r="A100" s="48" t="s">
        <v>279</v>
      </c>
      <c r="B100" s="52">
        <f t="shared" si="19"/>
        <v>8.5694444444445628E-2</v>
      </c>
      <c r="C100" s="52">
        <f>'[1]Day 4-F '!$C$72</f>
        <v>0.88222222222222346</v>
      </c>
      <c r="D100" s="50">
        <f t="shared" si="18"/>
        <v>4.3287037037036402E-3</v>
      </c>
      <c r="E100" s="52">
        <f t="shared" si="20"/>
        <v>0.8865509259259271</v>
      </c>
      <c r="F100" s="18" t="s">
        <v>1083</v>
      </c>
      <c r="G100" s="18" t="s">
        <v>269</v>
      </c>
      <c r="H100" s="18"/>
      <c r="I100" s="18" t="s">
        <v>254</v>
      </c>
      <c r="J100" s="18" t="s">
        <v>691</v>
      </c>
      <c r="K100" s="18" t="s">
        <v>1085</v>
      </c>
      <c r="L100" s="112">
        <f t="shared" si="16"/>
        <v>0.88222222222222346</v>
      </c>
      <c r="M100" s="110">
        <f t="shared" si="17"/>
        <v>0.8865509259259271</v>
      </c>
      <c r="N100" s="38"/>
      <c r="O100" s="38" t="s">
        <v>256</v>
      </c>
      <c r="P100" s="38" t="s">
        <v>256</v>
      </c>
      <c r="Q100" s="38" t="s">
        <v>256</v>
      </c>
      <c r="R100" s="38"/>
      <c r="S100"/>
      <c r="T100" s="4"/>
      <c r="U100" s="4"/>
    </row>
    <row r="101" spans="1:21" s="5" customFormat="1" x14ac:dyDescent="0.2">
      <c r="A101" s="48" t="s">
        <v>279</v>
      </c>
      <c r="B101" s="52">
        <f>C101-$C$80</f>
        <v>9.0023148148149268E-2</v>
      </c>
      <c r="C101" s="52">
        <f>'[1]Day 4-F '!$C$76</f>
        <v>0.8865509259259271</v>
      </c>
      <c r="D101" s="50">
        <f t="shared" si="18"/>
        <v>9.791666666666754E-3</v>
      </c>
      <c r="E101" s="52">
        <f t="shared" si="20"/>
        <v>0.89634259259259386</v>
      </c>
      <c r="F101" s="7" t="s">
        <v>727</v>
      </c>
      <c r="G101" s="18" t="s">
        <v>269</v>
      </c>
      <c r="H101" s="18"/>
      <c r="I101" s="18" t="s">
        <v>254</v>
      </c>
      <c r="J101" s="18" t="s">
        <v>691</v>
      </c>
      <c r="K101" s="18" t="s">
        <v>728</v>
      </c>
      <c r="L101" s="112">
        <f t="shared" si="16"/>
        <v>0.8865509259259271</v>
      </c>
      <c r="M101" s="110">
        <f t="shared" si="17"/>
        <v>0.89634259259259386</v>
      </c>
      <c r="N101" s="38"/>
      <c r="O101" s="38" t="s">
        <v>256</v>
      </c>
      <c r="P101" s="38" t="s">
        <v>256</v>
      </c>
      <c r="Q101" s="38" t="s">
        <v>256</v>
      </c>
      <c r="R101" s="38"/>
      <c r="S101"/>
      <c r="T101" s="4"/>
      <c r="U101" s="4"/>
    </row>
    <row r="102" spans="1:21" s="5" customFormat="1" x14ac:dyDescent="0.2">
      <c r="A102" s="48" t="s">
        <v>279</v>
      </c>
      <c r="B102" s="52">
        <f>C102-$C$80</f>
        <v>9.9814814814816022E-2</v>
      </c>
      <c r="C102" s="52">
        <f>'[1]Day 4-F '!$C$80</f>
        <v>0.89634259259259386</v>
      </c>
      <c r="D102" s="50">
        <f t="shared" si="18"/>
        <v>5.2083333333333703E-3</v>
      </c>
      <c r="E102" s="52">
        <f t="shared" si="20"/>
        <v>0.90155092592592723</v>
      </c>
      <c r="F102" s="34" t="s">
        <v>729</v>
      </c>
      <c r="G102" s="18" t="s">
        <v>269</v>
      </c>
      <c r="H102" s="18"/>
      <c r="I102" s="18" t="s">
        <v>254</v>
      </c>
      <c r="J102" s="18" t="s">
        <v>691</v>
      </c>
      <c r="K102" s="18" t="s">
        <v>730</v>
      </c>
      <c r="L102" s="112">
        <f t="shared" si="16"/>
        <v>0.89634259259259386</v>
      </c>
      <c r="M102" s="110">
        <f t="shared" si="17"/>
        <v>0.90155092592592723</v>
      </c>
      <c r="N102" s="38"/>
      <c r="O102" s="38" t="s">
        <v>256</v>
      </c>
      <c r="P102" s="38" t="s">
        <v>256</v>
      </c>
      <c r="Q102" s="38" t="s">
        <v>256</v>
      </c>
      <c r="R102" s="38"/>
      <c r="S102"/>
      <c r="T102" s="4"/>
      <c r="U102" s="4"/>
    </row>
    <row r="103" spans="1:21" s="5" customFormat="1" x14ac:dyDescent="0.2">
      <c r="A103" s="48" t="s">
        <v>279</v>
      </c>
      <c r="B103" s="52">
        <f>C103-$C$80</f>
        <v>0.10502314814814939</v>
      </c>
      <c r="C103" s="52">
        <f>'[1]Day 4-F '!$C$81</f>
        <v>0.90155092592592723</v>
      </c>
      <c r="D103" s="50">
        <f t="shared" si="18"/>
        <v>5.2083333333333703E-3</v>
      </c>
      <c r="E103" s="52">
        <f t="shared" si="20"/>
        <v>0.9067592592592606</v>
      </c>
      <c r="F103" s="34" t="s">
        <v>731</v>
      </c>
      <c r="G103" s="18" t="s">
        <v>269</v>
      </c>
      <c r="H103" s="18"/>
      <c r="I103" s="18" t="s">
        <v>254</v>
      </c>
      <c r="J103" s="18" t="s">
        <v>691</v>
      </c>
      <c r="K103" s="18" t="s">
        <v>732</v>
      </c>
      <c r="L103" s="112">
        <f t="shared" si="16"/>
        <v>0.90155092592592723</v>
      </c>
      <c r="M103" s="110">
        <f t="shared" si="17"/>
        <v>0.9067592592592606</v>
      </c>
      <c r="N103" s="38"/>
      <c r="O103" s="38" t="s">
        <v>256</v>
      </c>
      <c r="P103" s="38" t="s">
        <v>256</v>
      </c>
      <c r="Q103" s="38" t="s">
        <v>256</v>
      </c>
      <c r="R103" s="38"/>
      <c r="S103"/>
      <c r="T103" s="4"/>
      <c r="U103" s="4"/>
    </row>
    <row r="104" spans="1:21" s="5" customFormat="1" x14ac:dyDescent="0.2">
      <c r="A104" s="48" t="s">
        <v>279</v>
      </c>
      <c r="B104" s="52">
        <f>C104-$C$80</f>
        <v>0.11023148148148276</v>
      </c>
      <c r="C104" s="52">
        <f>'[1]Day 4-F '!$C$82</f>
        <v>0.9067592592592606</v>
      </c>
      <c r="D104" s="50">
        <f t="shared" si="18"/>
        <v>6.2499999999999778E-3</v>
      </c>
      <c r="E104" s="52">
        <f t="shared" si="20"/>
        <v>0.91300925925926057</v>
      </c>
      <c r="F104" s="34" t="s">
        <v>733</v>
      </c>
      <c r="G104" s="18" t="s">
        <v>269</v>
      </c>
      <c r="H104" s="18"/>
      <c r="I104" s="18" t="s">
        <v>254</v>
      </c>
      <c r="J104" s="18" t="s">
        <v>691</v>
      </c>
      <c r="K104" s="18" t="s">
        <v>734</v>
      </c>
      <c r="L104" s="112">
        <f t="shared" si="16"/>
        <v>0.9067592592592606</v>
      </c>
      <c r="M104" s="110">
        <f t="shared" si="17"/>
        <v>0.91300925925926057</v>
      </c>
      <c r="N104" s="38"/>
      <c r="O104" s="38" t="s">
        <v>256</v>
      </c>
      <c r="P104" s="38" t="s">
        <v>256</v>
      </c>
      <c r="Q104" s="38" t="s">
        <v>256</v>
      </c>
      <c r="R104" s="38"/>
      <c r="S104"/>
      <c r="T104" s="4"/>
      <c r="U104" s="4"/>
    </row>
    <row r="105" spans="1:21" s="5" customFormat="1" x14ac:dyDescent="0.2">
      <c r="A105" s="48" t="s">
        <v>279</v>
      </c>
      <c r="B105" s="52">
        <f t="shared" si="19"/>
        <v>0.11648148148148274</v>
      </c>
      <c r="C105" s="52">
        <f>'[1]Day 4-F '!$C$83</f>
        <v>0.91300925925926057</v>
      </c>
      <c r="D105" s="50">
        <f t="shared" si="18"/>
        <v>1.0416666666667185E-3</v>
      </c>
      <c r="E105" s="52">
        <f t="shared" si="20"/>
        <v>0.91405092592592729</v>
      </c>
      <c r="F105" s="18" t="s">
        <v>357</v>
      </c>
      <c r="G105" s="18" t="s">
        <v>269</v>
      </c>
      <c r="H105" s="18"/>
      <c r="I105" s="18" t="s">
        <v>254</v>
      </c>
      <c r="J105" s="18" t="s">
        <v>691</v>
      </c>
      <c r="K105" s="37"/>
      <c r="L105" s="112">
        <f t="shared" si="16"/>
        <v>0.91300925925926057</v>
      </c>
      <c r="M105" s="110">
        <f t="shared" si="17"/>
        <v>0.91405092592592729</v>
      </c>
      <c r="N105" s="38"/>
      <c r="O105" s="38" t="s">
        <v>256</v>
      </c>
      <c r="P105" s="38" t="s">
        <v>256</v>
      </c>
      <c r="Q105" s="38" t="s">
        <v>256</v>
      </c>
      <c r="R105" s="38"/>
      <c r="S105"/>
      <c r="T105" s="4"/>
      <c r="U105" s="4"/>
    </row>
    <row r="106" spans="1:21" x14ac:dyDescent="0.2">
      <c r="A106" s="48" t="s">
        <v>279</v>
      </c>
      <c r="B106" s="94"/>
      <c r="C106" s="94">
        <f>'[1]Day 4-F '!$C$84</f>
        <v>0.91405092592592729</v>
      </c>
      <c r="D106" s="93"/>
      <c r="E106" s="94"/>
      <c r="F106" s="20" t="s">
        <v>358</v>
      </c>
      <c r="G106" s="18" t="s">
        <v>269</v>
      </c>
      <c r="H106" s="18"/>
      <c r="I106" s="18" t="s">
        <v>254</v>
      </c>
      <c r="J106" s="18" t="s">
        <v>691</v>
      </c>
      <c r="K106" s="37"/>
      <c r="L106" s="112">
        <f t="shared" si="16"/>
        <v>0.91405092592592729</v>
      </c>
      <c r="M106" s="105"/>
      <c r="N106" s="38"/>
      <c r="O106" s="38" t="s">
        <v>256</v>
      </c>
      <c r="P106" s="38" t="s">
        <v>256</v>
      </c>
      <c r="Q106" s="38" t="s">
        <v>256</v>
      </c>
      <c r="R106" s="38" t="s">
        <v>256</v>
      </c>
      <c r="T106" s="4"/>
      <c r="U106" s="4"/>
    </row>
    <row r="107" spans="1:21" s="5" customFormat="1" x14ac:dyDescent="0.2">
      <c r="A107" s="46"/>
      <c r="B107" s="46"/>
      <c r="C107" s="64">
        <v>0.91666666666666663</v>
      </c>
      <c r="D107" s="46"/>
      <c r="E107" s="55"/>
      <c r="F107" s="33" t="s">
        <v>62</v>
      </c>
      <c r="G107" s="45"/>
      <c r="H107" s="45"/>
      <c r="I107" s="45" t="s">
        <v>254</v>
      </c>
      <c r="J107" s="45" t="s">
        <v>691</v>
      </c>
      <c r="K107" s="45"/>
      <c r="L107" s="113">
        <f t="shared" si="16"/>
        <v>0.91666666666666663</v>
      </c>
      <c r="M107" s="109"/>
      <c r="N107" s="101"/>
      <c r="O107" s="46" t="s">
        <v>256</v>
      </c>
      <c r="P107" s="46" t="s">
        <v>256</v>
      </c>
      <c r="Q107" s="46" t="s">
        <v>256</v>
      </c>
      <c r="R107" s="46" t="s">
        <v>256</v>
      </c>
      <c r="S107"/>
      <c r="T107" s="4"/>
      <c r="U107" s="4"/>
    </row>
    <row r="108" spans="1:21" s="5" customFormat="1" x14ac:dyDescent="0.2">
      <c r="A108" s="48" t="s">
        <v>279</v>
      </c>
      <c r="B108" s="52">
        <f>C107-$C$80</f>
        <v>0.1201388888888888</v>
      </c>
      <c r="C108" s="52">
        <f>$C$107+TIME(0,0,0)</f>
        <v>0.91666666666666663</v>
      </c>
      <c r="D108" s="50">
        <f t="shared" si="18"/>
        <v>4.166666666666663E-2</v>
      </c>
      <c r="E108" s="52">
        <f>$C$107+TIME(1,0,0)</f>
        <v>0.95833333333333326</v>
      </c>
      <c r="F108" s="47" t="s">
        <v>359</v>
      </c>
      <c r="G108" s="18" t="s">
        <v>264</v>
      </c>
      <c r="H108" s="18"/>
      <c r="I108" s="18" t="s">
        <v>254</v>
      </c>
      <c r="J108" s="37"/>
      <c r="K108" s="37"/>
      <c r="L108" s="100"/>
      <c r="M108" s="99"/>
      <c r="N108" s="38"/>
      <c r="O108" s="38"/>
      <c r="P108" s="38"/>
      <c r="Q108" s="38"/>
      <c r="R108" s="38" t="s">
        <v>256</v>
      </c>
      <c r="S108"/>
      <c r="T108" s="4"/>
      <c r="U108" s="4"/>
    </row>
    <row r="109" spans="1:21" s="5" customFormat="1" x14ac:dyDescent="0.2">
      <c r="A109" s="48" t="s">
        <v>279</v>
      </c>
      <c r="B109" s="52">
        <f t="shared" ref="B109:B112" si="21">C108-$C$80</f>
        <v>0.1201388888888888</v>
      </c>
      <c r="C109" s="52">
        <v>0.9243055555555556</v>
      </c>
      <c r="D109" s="48"/>
      <c r="E109" s="52"/>
      <c r="F109" s="47" t="s">
        <v>65</v>
      </c>
      <c r="G109" s="18" t="s">
        <v>271</v>
      </c>
      <c r="H109" s="18"/>
      <c r="I109" s="18" t="s">
        <v>254</v>
      </c>
      <c r="J109" s="37"/>
      <c r="K109" s="37"/>
      <c r="L109" s="100"/>
      <c r="M109" s="99"/>
      <c r="N109" s="38"/>
      <c r="O109" s="38"/>
      <c r="P109" s="38"/>
      <c r="Q109" s="38"/>
      <c r="R109" s="38" t="s">
        <v>256</v>
      </c>
      <c r="S109"/>
      <c r="T109" s="4"/>
      <c r="U109" s="4"/>
    </row>
    <row r="110" spans="1:21" s="5" customFormat="1" x14ac:dyDescent="0.2">
      <c r="A110" s="48" t="s">
        <v>279</v>
      </c>
      <c r="B110" s="52">
        <f t="shared" si="21"/>
        <v>0.12777777777777777</v>
      </c>
      <c r="C110" s="52">
        <v>0.9375</v>
      </c>
      <c r="D110" s="48"/>
      <c r="E110" s="52"/>
      <c r="F110" s="62" t="s">
        <v>411</v>
      </c>
      <c r="G110" s="18" t="s">
        <v>261</v>
      </c>
      <c r="H110" s="18"/>
      <c r="I110" s="18" t="s">
        <v>254</v>
      </c>
      <c r="J110" s="37"/>
      <c r="K110" s="37"/>
      <c r="L110" s="100"/>
      <c r="M110" s="99"/>
      <c r="N110" s="38"/>
      <c r="O110" s="38"/>
      <c r="P110" s="38"/>
      <c r="Q110" s="38"/>
      <c r="R110" s="38" t="s">
        <v>256</v>
      </c>
      <c r="S110"/>
      <c r="T110" s="4"/>
      <c r="U110" s="4"/>
    </row>
    <row r="111" spans="1:21" s="5" customFormat="1" x14ac:dyDescent="0.2">
      <c r="A111" s="48" t="s">
        <v>279</v>
      </c>
      <c r="B111" s="52">
        <f t="shared" si="21"/>
        <v>0.14097222222222217</v>
      </c>
      <c r="C111" s="52">
        <f>$C$107+TIME(0,45,0)</f>
        <v>0.94791666666666663</v>
      </c>
      <c r="D111" s="48"/>
      <c r="E111" s="52"/>
      <c r="F111" s="18" t="s">
        <v>362</v>
      </c>
      <c r="G111" s="18" t="s">
        <v>271</v>
      </c>
      <c r="H111" s="18"/>
      <c r="I111" s="18" t="s">
        <v>254</v>
      </c>
      <c r="J111" s="37"/>
      <c r="K111" s="37"/>
      <c r="L111" s="100"/>
      <c r="M111" s="99"/>
      <c r="N111" s="38"/>
      <c r="O111" s="38"/>
      <c r="P111" s="38"/>
      <c r="Q111" s="38"/>
      <c r="R111" s="38" t="s">
        <v>256</v>
      </c>
      <c r="S111"/>
      <c r="T111" s="4"/>
      <c r="U111" s="4"/>
    </row>
    <row r="112" spans="1:21" s="5" customFormat="1" x14ac:dyDescent="0.2">
      <c r="A112" s="48" t="s">
        <v>279</v>
      </c>
      <c r="B112" s="52">
        <f t="shared" si="21"/>
        <v>0.1513888888888888</v>
      </c>
      <c r="C112" s="52">
        <f>$C$107+TIME(1,20,0)</f>
        <v>0.97222222222222221</v>
      </c>
      <c r="D112" s="48"/>
      <c r="E112" s="52"/>
      <c r="F112" s="47" t="s">
        <v>412</v>
      </c>
      <c r="G112" s="18"/>
      <c r="H112" s="18"/>
      <c r="I112" s="18" t="s">
        <v>254</v>
      </c>
      <c r="J112" s="37"/>
      <c r="K112" s="37"/>
      <c r="L112" s="100"/>
      <c r="M112" s="99"/>
      <c r="N112" s="38"/>
      <c r="O112" s="38"/>
      <c r="P112" s="38"/>
      <c r="Q112" s="38"/>
      <c r="R112" s="38"/>
      <c r="S112"/>
      <c r="T112" s="4"/>
      <c r="U112" s="4"/>
    </row>
    <row r="113" spans="1:21" s="5" customFormat="1" x14ac:dyDescent="0.2">
      <c r="A113" s="48" t="s">
        <v>279</v>
      </c>
      <c r="B113" s="52">
        <f>C112-$C$80</f>
        <v>0.17569444444444438</v>
      </c>
      <c r="C113" s="52">
        <f>$C$107+TIME(1,30,0)</f>
        <v>0.97916666666666663</v>
      </c>
      <c r="D113" s="48"/>
      <c r="E113" s="52"/>
      <c r="F113" s="20" t="s">
        <v>67</v>
      </c>
      <c r="G113" s="18"/>
      <c r="H113" s="18"/>
      <c r="I113" s="18" t="s">
        <v>254</v>
      </c>
      <c r="J113" s="37"/>
      <c r="K113" s="37"/>
      <c r="L113" s="100"/>
      <c r="M113" s="99"/>
      <c r="N113" s="38"/>
      <c r="O113" s="38"/>
      <c r="P113" s="38"/>
      <c r="Q113" s="38"/>
      <c r="R113" s="38" t="s">
        <v>256</v>
      </c>
      <c r="S113"/>
      <c r="T113" s="4"/>
      <c r="U113" s="4"/>
    </row>
    <row r="114" spans="1:21" s="5" customFormat="1" x14ac:dyDescent="0.2">
      <c r="A114" s="48" t="s">
        <v>279</v>
      </c>
      <c r="B114" s="52">
        <f t="shared" ref="B114:B117" si="22">C113-$C$80</f>
        <v>0.1826388888888888</v>
      </c>
      <c r="C114" s="52">
        <v>0.98958333333333337</v>
      </c>
      <c r="D114" s="48"/>
      <c r="E114" s="52"/>
      <c r="F114" s="47" t="s">
        <v>361</v>
      </c>
      <c r="G114" s="18"/>
      <c r="H114" s="18"/>
      <c r="I114" s="18" t="s">
        <v>254</v>
      </c>
      <c r="J114" s="37"/>
      <c r="K114" s="37"/>
      <c r="L114" s="100"/>
      <c r="M114" s="99"/>
      <c r="N114" s="38"/>
      <c r="O114" s="38"/>
      <c r="P114" s="38"/>
      <c r="Q114" s="38"/>
      <c r="R114" s="38"/>
      <c r="S114"/>
      <c r="T114" s="4"/>
      <c r="U114" s="4"/>
    </row>
    <row r="115" spans="1:21" s="5" customFormat="1" x14ac:dyDescent="0.2">
      <c r="A115" s="48" t="s">
        <v>279</v>
      </c>
      <c r="B115" s="52">
        <f t="shared" si="22"/>
        <v>0.19305555555555554</v>
      </c>
      <c r="C115" s="98">
        <v>0</v>
      </c>
      <c r="D115" s="48"/>
      <c r="E115" s="52"/>
      <c r="F115" s="47" t="s">
        <v>413</v>
      </c>
      <c r="G115" s="18"/>
      <c r="H115" s="18"/>
      <c r="I115" s="18" t="s">
        <v>254</v>
      </c>
      <c r="J115" s="37"/>
      <c r="K115" s="37"/>
      <c r="L115" s="100"/>
      <c r="M115" s="99"/>
      <c r="N115" s="38"/>
      <c r="O115" s="38"/>
      <c r="P115" s="38"/>
      <c r="Q115" s="38"/>
      <c r="R115" s="38"/>
      <c r="S115"/>
      <c r="T115" s="4"/>
      <c r="U115" s="4"/>
    </row>
    <row r="116" spans="1:21" s="5" customFormat="1" x14ac:dyDescent="0.2">
      <c r="A116" s="48" t="s">
        <v>279</v>
      </c>
      <c r="B116" s="52">
        <f t="shared" si="22"/>
        <v>-0.79652777777777783</v>
      </c>
      <c r="C116" s="52">
        <v>1</v>
      </c>
      <c r="D116" s="48"/>
      <c r="E116" s="52"/>
      <c r="F116" s="18" t="s">
        <v>414</v>
      </c>
      <c r="G116" s="18"/>
      <c r="H116" s="18"/>
      <c r="I116" s="18" t="s">
        <v>254</v>
      </c>
      <c r="J116" s="37"/>
      <c r="K116" s="37"/>
      <c r="L116" s="100"/>
      <c r="M116" s="99"/>
      <c r="N116" s="38"/>
      <c r="O116" s="38"/>
      <c r="P116" s="38"/>
      <c r="Q116" s="38"/>
      <c r="R116" s="38" t="s">
        <v>256</v>
      </c>
      <c r="S116"/>
      <c r="T116" s="4"/>
      <c r="U116" s="4"/>
    </row>
    <row r="117" spans="1:21" s="5" customFormat="1" x14ac:dyDescent="0.2">
      <c r="A117" s="48" t="s">
        <v>279</v>
      </c>
      <c r="B117" s="52">
        <f t="shared" si="22"/>
        <v>0.20347222222222217</v>
      </c>
      <c r="C117" s="52">
        <v>2.0833333333333332E-2</v>
      </c>
      <c r="D117" s="48"/>
      <c r="E117" s="52"/>
      <c r="F117" s="18" t="s">
        <v>415</v>
      </c>
      <c r="G117" s="18"/>
      <c r="H117" s="18"/>
      <c r="I117" s="18" t="s">
        <v>254</v>
      </c>
      <c r="J117" s="37"/>
      <c r="K117" s="37"/>
      <c r="L117" s="100"/>
      <c r="M117" s="99"/>
      <c r="N117" s="38"/>
      <c r="O117" s="38"/>
      <c r="P117" s="38"/>
      <c r="Q117" s="38"/>
      <c r="R117" s="38" t="s">
        <v>256</v>
      </c>
      <c r="S117"/>
      <c r="T117" s="4"/>
      <c r="U117" s="4"/>
    </row>
    <row r="118" spans="1:21" s="5" customFormat="1" x14ac:dyDescent="0.2">
      <c r="A118" s="2"/>
      <c r="B118" s="2"/>
      <c r="C118" s="56"/>
      <c r="D118" s="2"/>
      <c r="E118" s="56"/>
      <c r="F118"/>
      <c r="G118"/>
      <c r="H118"/>
      <c r="I118"/>
      <c r="J118"/>
      <c r="K118"/>
      <c r="L118"/>
      <c r="M118"/>
      <c r="N118" s="2"/>
      <c r="O118" s="2"/>
      <c r="P118" s="2"/>
      <c r="Q118" s="2"/>
      <c r="R118" s="2"/>
      <c r="S118"/>
      <c r="T118" s="4"/>
      <c r="U118" s="4"/>
    </row>
    <row r="119" spans="1:21" s="5" customFormat="1" x14ac:dyDescent="0.2">
      <c r="A119" s="2"/>
      <c r="B119" s="2"/>
      <c r="C119" s="56"/>
      <c r="D119" s="2"/>
      <c r="E119" s="56"/>
      <c r="F119"/>
      <c r="G119"/>
      <c r="H119"/>
      <c r="I119"/>
      <c r="J119"/>
      <c r="K119"/>
      <c r="L119"/>
      <c r="M119"/>
      <c r="N119" s="2"/>
      <c r="O119" s="2"/>
      <c r="P119" s="2"/>
      <c r="Q119" s="2"/>
      <c r="R119" s="2"/>
      <c r="S119"/>
      <c r="T119" s="4"/>
      <c r="U119" s="4"/>
    </row>
    <row r="120" spans="1:21" s="5" customFormat="1" x14ac:dyDescent="0.2">
      <c r="A120" s="2"/>
      <c r="B120" s="2"/>
      <c r="C120" s="56"/>
      <c r="D120" s="2"/>
      <c r="E120" s="56"/>
      <c r="F120"/>
      <c r="G120"/>
      <c r="H120"/>
      <c r="I120"/>
      <c r="J120"/>
      <c r="K120"/>
      <c r="L120"/>
      <c r="M120"/>
      <c r="N120" s="2"/>
      <c r="O120" s="2"/>
      <c r="P120" s="2"/>
      <c r="Q120" s="2"/>
      <c r="R120" s="2"/>
      <c r="S120"/>
      <c r="T120" s="4"/>
      <c r="U120" s="4"/>
    </row>
    <row r="121" spans="1:21" s="5" customFormat="1" x14ac:dyDescent="0.2">
      <c r="A121" s="2"/>
      <c r="B121" s="2"/>
      <c r="C121" s="56"/>
      <c r="D121" s="2"/>
      <c r="E121" s="56"/>
      <c r="F121"/>
      <c r="G121"/>
      <c r="H121"/>
      <c r="I121"/>
      <c r="J121"/>
      <c r="K121"/>
      <c r="L121"/>
      <c r="M121"/>
      <c r="N121" s="2"/>
      <c r="O121" s="2"/>
      <c r="P121" s="2"/>
      <c r="Q121" s="2"/>
      <c r="R121" s="2"/>
      <c r="S121"/>
      <c r="T121" s="4"/>
      <c r="U121" s="4"/>
    </row>
    <row r="122" spans="1:21" s="5" customFormat="1" x14ac:dyDescent="0.2">
      <c r="A122" s="2"/>
      <c r="B122" s="2"/>
      <c r="C122" s="56"/>
      <c r="D122" s="2"/>
      <c r="E122" s="56"/>
      <c r="F122"/>
      <c r="G122"/>
      <c r="H122"/>
      <c r="I122"/>
      <c r="J122"/>
      <c r="K122"/>
      <c r="L122"/>
      <c r="M122"/>
      <c r="N122" s="2"/>
      <c r="O122" s="2"/>
      <c r="P122" s="2"/>
      <c r="Q122" s="2"/>
      <c r="R122" s="2"/>
      <c r="S122"/>
      <c r="T122" s="4"/>
      <c r="U122" s="4"/>
    </row>
    <row r="123" spans="1:21" s="5" customFormat="1" x14ac:dyDescent="0.2">
      <c r="A123" s="2"/>
      <c r="B123" s="68"/>
      <c r="C123" s="67"/>
      <c r="D123" s="68"/>
      <c r="E123" s="67"/>
      <c r="F123"/>
      <c r="G123"/>
      <c r="H123"/>
      <c r="I123"/>
      <c r="J123"/>
      <c r="K123"/>
      <c r="L123"/>
      <c r="M123"/>
      <c r="N123" s="2"/>
      <c r="O123" s="2"/>
      <c r="P123" s="2"/>
      <c r="Q123" s="2"/>
      <c r="R123" s="2"/>
      <c r="S123"/>
      <c r="T123" s="4"/>
      <c r="U123" s="4"/>
    </row>
    <row r="124" spans="1:21" s="5" customFormat="1" x14ac:dyDescent="0.2">
      <c r="A124" s="2"/>
      <c r="B124" s="68"/>
      <c r="C124" s="67"/>
      <c r="D124" s="68"/>
      <c r="E124" s="67"/>
      <c r="F124"/>
      <c r="G124"/>
      <c r="H124"/>
      <c r="I124"/>
      <c r="J124"/>
      <c r="K124"/>
      <c r="L124"/>
      <c r="M124"/>
      <c r="N124" s="2"/>
      <c r="O124" s="2"/>
      <c r="P124" s="2"/>
      <c r="Q124" s="2"/>
      <c r="R124" s="2"/>
      <c r="S124"/>
      <c r="T124" s="4"/>
      <c r="U124" s="4"/>
    </row>
    <row r="125" spans="1:21" s="5" customFormat="1" x14ac:dyDescent="0.2">
      <c r="A125" s="2"/>
      <c r="B125" s="68"/>
      <c r="C125" s="67"/>
      <c r="D125" s="68"/>
      <c r="E125" s="67"/>
      <c r="F125"/>
      <c r="G125"/>
      <c r="H125"/>
      <c r="I125"/>
      <c r="J125"/>
      <c r="K125"/>
      <c r="L125"/>
      <c r="M125"/>
      <c r="N125" s="2"/>
      <c r="O125" s="2"/>
      <c r="P125" s="2"/>
      <c r="Q125" s="2"/>
      <c r="R125" s="2"/>
      <c r="S125"/>
      <c r="T125" s="4"/>
      <c r="U125" s="4"/>
    </row>
    <row r="126" spans="1:21" s="5" customFormat="1" x14ac:dyDescent="0.2">
      <c r="A126" s="2"/>
      <c r="B126" s="68"/>
      <c r="C126" s="67"/>
      <c r="D126" s="68"/>
      <c r="E126" s="67"/>
      <c r="F126"/>
      <c r="G126"/>
      <c r="H126"/>
      <c r="I126"/>
      <c r="J126"/>
      <c r="K126"/>
      <c r="L126"/>
      <c r="M126"/>
      <c r="N126" s="2"/>
      <c r="O126" s="2"/>
      <c r="P126" s="2"/>
      <c r="Q126" s="2"/>
      <c r="R126" s="2"/>
      <c r="S126"/>
      <c r="T126" s="4"/>
      <c r="U126" s="4"/>
    </row>
    <row r="127" spans="1:21" s="5" customFormat="1" x14ac:dyDescent="0.2">
      <c r="A127" s="2"/>
      <c r="B127" s="68"/>
      <c r="C127" s="67"/>
      <c r="D127" s="68"/>
      <c r="E127" s="67"/>
      <c r="F127"/>
      <c r="G127"/>
      <c r="H127"/>
      <c r="I127"/>
      <c r="J127"/>
      <c r="K127"/>
      <c r="L127"/>
      <c r="M127"/>
      <c r="N127" s="2"/>
      <c r="O127" s="2"/>
      <c r="P127" s="2"/>
      <c r="Q127" s="2"/>
      <c r="R127" s="2"/>
      <c r="S127"/>
      <c r="T127" s="4"/>
      <c r="U127" s="4"/>
    </row>
    <row r="128" spans="1:21" s="5" customFormat="1" x14ac:dyDescent="0.2">
      <c r="A128" s="2"/>
      <c r="B128" s="68"/>
      <c r="C128" s="67"/>
      <c r="D128" s="68"/>
      <c r="E128" s="67"/>
      <c r="F128"/>
      <c r="G128"/>
      <c r="H128"/>
      <c r="I128"/>
      <c r="J128"/>
      <c r="K128"/>
      <c r="L128"/>
      <c r="M128"/>
      <c r="N128" s="2"/>
      <c r="O128" s="2"/>
      <c r="P128" s="2"/>
      <c r="Q128" s="2"/>
      <c r="R128" s="2"/>
      <c r="S128"/>
      <c r="T128" s="4"/>
      <c r="U128" s="4"/>
    </row>
    <row r="129" spans="1:21" s="5" customFormat="1" x14ac:dyDescent="0.2">
      <c r="A129" s="2"/>
      <c r="B129" s="2"/>
      <c r="C129" s="56"/>
      <c r="D129" s="2"/>
      <c r="E129" s="56"/>
      <c r="F129"/>
      <c r="G129"/>
      <c r="H129"/>
      <c r="I129"/>
      <c r="J129"/>
      <c r="K129"/>
      <c r="L129"/>
      <c r="M129"/>
      <c r="N129" s="2"/>
      <c r="O129" s="2"/>
      <c r="P129" s="2"/>
      <c r="Q129" s="2"/>
      <c r="R129" s="2"/>
      <c r="S129"/>
      <c r="T129" s="4"/>
      <c r="U129" s="4"/>
    </row>
    <row r="130" spans="1:21" s="5" customFormat="1" x14ac:dyDescent="0.2">
      <c r="A130" s="2"/>
      <c r="B130" s="2"/>
      <c r="C130" s="56"/>
      <c r="D130" s="2"/>
      <c r="E130" s="56"/>
      <c r="F130"/>
      <c r="G130"/>
      <c r="H130"/>
      <c r="I130"/>
      <c r="J130"/>
      <c r="K130"/>
      <c r="L130"/>
      <c r="M130"/>
      <c r="N130" s="2"/>
      <c r="O130" s="2"/>
      <c r="P130" s="2"/>
      <c r="Q130" s="2"/>
      <c r="R130" s="2"/>
      <c r="S130"/>
      <c r="T130" s="4"/>
      <c r="U130" s="4"/>
    </row>
    <row r="131" spans="1:21" s="5" customFormat="1" x14ac:dyDescent="0.2">
      <c r="A131" s="2"/>
      <c r="B131" s="2"/>
      <c r="C131" s="56"/>
      <c r="D131" s="2"/>
      <c r="E131" s="56"/>
      <c r="F131"/>
      <c r="G131"/>
      <c r="H131"/>
      <c r="I131"/>
      <c r="J131"/>
      <c r="K131"/>
      <c r="L131"/>
      <c r="M131"/>
      <c r="N131" s="2"/>
      <c r="O131" s="2"/>
      <c r="P131" s="2"/>
      <c r="Q131" s="2"/>
      <c r="R131" s="2"/>
      <c r="S131"/>
      <c r="T131" s="4"/>
      <c r="U131" s="4"/>
    </row>
    <row r="132" spans="1:21" s="5" customFormat="1" x14ac:dyDescent="0.2">
      <c r="A132" s="2"/>
      <c r="B132" s="2"/>
      <c r="C132" s="56"/>
      <c r="D132" s="2"/>
      <c r="E132" s="56"/>
      <c r="F132"/>
      <c r="G132"/>
      <c r="H132"/>
      <c r="I132"/>
      <c r="J132"/>
      <c r="K132"/>
      <c r="L132"/>
      <c r="M132"/>
      <c r="N132" s="2"/>
      <c r="O132" s="2"/>
      <c r="P132" s="2"/>
      <c r="Q132" s="2"/>
      <c r="R132" s="2"/>
      <c r="S132"/>
      <c r="T132" s="4"/>
      <c r="U132" s="4"/>
    </row>
    <row r="133" spans="1:21" s="5" customFormat="1" x14ac:dyDescent="0.2">
      <c r="A133" s="2"/>
      <c r="B133" s="2"/>
      <c r="C133" s="56"/>
      <c r="D133" s="2"/>
      <c r="E133" s="56"/>
      <c r="F133"/>
      <c r="G133"/>
      <c r="H133"/>
      <c r="I133"/>
      <c r="J133"/>
      <c r="K133"/>
      <c r="L133"/>
      <c r="M133"/>
      <c r="N133" s="2"/>
      <c r="O133" s="2"/>
      <c r="P133" s="2"/>
      <c r="Q133" s="2"/>
      <c r="R133" s="2"/>
      <c r="S133"/>
      <c r="T133" s="4"/>
      <c r="U133" s="4"/>
    </row>
    <row r="134" spans="1:21" s="5" customFormat="1" x14ac:dyDescent="0.2">
      <c r="A134" s="2"/>
      <c r="B134" s="2"/>
      <c r="C134" s="56"/>
      <c r="D134" s="2"/>
      <c r="E134" s="56"/>
      <c r="F134"/>
      <c r="G134"/>
      <c r="H134"/>
      <c r="I134"/>
      <c r="J134"/>
      <c r="K134"/>
      <c r="L134"/>
      <c r="M134"/>
      <c r="N134" s="2"/>
      <c r="O134" s="2"/>
      <c r="P134" s="2"/>
      <c r="Q134" s="2"/>
      <c r="R134" s="2"/>
      <c r="S134"/>
      <c r="T134" s="4"/>
      <c r="U134" s="4"/>
    </row>
    <row r="135" spans="1:21" s="5" customFormat="1" x14ac:dyDescent="0.2">
      <c r="A135" s="2"/>
      <c r="B135" s="2"/>
      <c r="C135" s="56"/>
      <c r="D135" s="2"/>
      <c r="E135" s="56"/>
      <c r="F135"/>
      <c r="G135"/>
      <c r="H135"/>
      <c r="I135"/>
      <c r="J135"/>
      <c r="K135"/>
      <c r="L135"/>
      <c r="M135"/>
      <c r="N135" s="2"/>
      <c r="O135" s="2"/>
      <c r="P135" s="2"/>
      <c r="Q135" s="2"/>
      <c r="R135" s="2"/>
      <c r="S135"/>
      <c r="T135" s="4"/>
      <c r="U135" s="4"/>
    </row>
    <row r="136" spans="1:21" s="5" customFormat="1" x14ac:dyDescent="0.2">
      <c r="A136" s="2"/>
      <c r="B136" s="2"/>
      <c r="C136" s="56"/>
      <c r="D136" s="2"/>
      <c r="E136" s="56"/>
      <c r="F136"/>
      <c r="G136"/>
      <c r="H136"/>
      <c r="I136"/>
      <c r="J136"/>
      <c r="K136"/>
      <c r="L136"/>
      <c r="M136"/>
      <c r="N136" s="2"/>
      <c r="O136" s="2"/>
      <c r="P136" s="2"/>
      <c r="Q136" s="2"/>
      <c r="R136" s="2"/>
      <c r="S136"/>
      <c r="T136" s="4"/>
      <c r="U136" s="4"/>
    </row>
    <row r="137" spans="1:21" s="5" customFormat="1" x14ac:dyDescent="0.2">
      <c r="A137" s="2"/>
      <c r="B137" s="2"/>
      <c r="C137" s="56"/>
      <c r="D137" s="2"/>
      <c r="E137" s="56"/>
      <c r="F137"/>
      <c r="G137"/>
      <c r="H137"/>
      <c r="I137"/>
      <c r="J137"/>
      <c r="K137"/>
      <c r="L137"/>
      <c r="M137"/>
      <c r="N137" s="2"/>
      <c r="O137" s="2"/>
      <c r="P137" s="2"/>
      <c r="Q137" s="2"/>
      <c r="R137" s="2"/>
      <c r="S137"/>
      <c r="T137" s="4"/>
      <c r="U137" s="4"/>
    </row>
    <row r="138" spans="1:21" s="5" customFormat="1" x14ac:dyDescent="0.2">
      <c r="A138" s="2"/>
      <c r="B138" s="2"/>
      <c r="C138" s="56"/>
      <c r="D138" s="2"/>
      <c r="E138" s="56"/>
      <c r="F138"/>
      <c r="G138"/>
      <c r="H138"/>
      <c r="I138"/>
      <c r="J138"/>
      <c r="K138"/>
      <c r="L138"/>
      <c r="M138"/>
      <c r="N138" s="2"/>
      <c r="O138" s="2"/>
      <c r="P138" s="2"/>
      <c r="Q138" s="2"/>
      <c r="R138" s="2"/>
      <c r="S138"/>
      <c r="T138" s="4"/>
      <c r="U138" s="4"/>
    </row>
    <row r="139" spans="1:21" s="5" customFormat="1" x14ac:dyDescent="0.2">
      <c r="A139" s="2"/>
      <c r="B139" s="2"/>
      <c r="C139" s="56"/>
      <c r="D139" s="2"/>
      <c r="E139" s="56"/>
      <c r="F139"/>
      <c r="G139"/>
      <c r="H139"/>
      <c r="I139"/>
      <c r="J139"/>
      <c r="K139"/>
      <c r="L139"/>
      <c r="M139"/>
      <c r="N139" s="2"/>
      <c r="O139" s="2"/>
      <c r="P139" s="2"/>
      <c r="Q139" s="2"/>
      <c r="R139" s="2"/>
      <c r="S139"/>
      <c r="T139" s="4"/>
      <c r="U139" s="4"/>
    </row>
    <row r="140" spans="1:21" s="5" customFormat="1" x14ac:dyDescent="0.2">
      <c r="A140" s="2"/>
      <c r="B140" s="2"/>
      <c r="C140" s="56"/>
      <c r="D140" s="2"/>
      <c r="E140" s="56"/>
      <c r="F140"/>
      <c r="G140"/>
      <c r="H140"/>
      <c r="I140"/>
      <c r="J140"/>
      <c r="K140"/>
      <c r="L140"/>
      <c r="M140"/>
      <c r="N140" s="2"/>
      <c r="O140" s="2"/>
      <c r="P140" s="2"/>
      <c r="Q140" s="2"/>
      <c r="R140" s="2"/>
      <c r="S140"/>
      <c r="T140" s="4"/>
      <c r="U140" s="4"/>
    </row>
    <row r="141" spans="1:21" s="5" customFormat="1" x14ac:dyDescent="0.2">
      <c r="A141" s="2"/>
      <c r="B141" s="2"/>
      <c r="C141" s="56"/>
      <c r="D141" s="2"/>
      <c r="E141" s="56"/>
      <c r="F141"/>
      <c r="G141"/>
      <c r="H141"/>
      <c r="I141"/>
      <c r="J141"/>
      <c r="K141"/>
      <c r="L141"/>
      <c r="M141"/>
      <c r="N141" s="2"/>
      <c r="O141" s="2"/>
      <c r="P141" s="2"/>
      <c r="Q141" s="2"/>
      <c r="R141" s="2"/>
      <c r="S141"/>
      <c r="T141" s="4"/>
      <c r="U141" s="4"/>
    </row>
    <row r="142" spans="1:21" s="5" customFormat="1" x14ac:dyDescent="0.2">
      <c r="A142" s="2"/>
      <c r="B142" s="2"/>
      <c r="C142" s="56"/>
      <c r="D142" s="2"/>
      <c r="E142" s="56"/>
      <c r="F142"/>
      <c r="G142"/>
      <c r="H142"/>
      <c r="I142"/>
      <c r="J142"/>
      <c r="K142"/>
      <c r="L142"/>
      <c r="M142"/>
      <c r="N142" s="2"/>
      <c r="O142" s="2"/>
      <c r="P142" s="2"/>
      <c r="Q142" s="2"/>
      <c r="R142" s="2"/>
      <c r="S142"/>
      <c r="T142" s="4"/>
      <c r="U142" s="4"/>
    </row>
    <row r="143" spans="1:21" s="5" customFormat="1" x14ac:dyDescent="0.2">
      <c r="A143" s="2"/>
      <c r="B143" s="2"/>
      <c r="C143" s="56"/>
      <c r="D143" s="2"/>
      <c r="E143" s="56"/>
      <c r="F143"/>
      <c r="G143"/>
      <c r="H143"/>
      <c r="I143"/>
      <c r="J143"/>
      <c r="K143"/>
      <c r="L143"/>
      <c r="M143"/>
      <c r="N143" s="2"/>
      <c r="O143" s="2"/>
      <c r="P143" s="2"/>
      <c r="Q143" s="2"/>
      <c r="R143" s="2"/>
      <c r="S143"/>
      <c r="T143" s="4"/>
      <c r="U143" s="4"/>
    </row>
    <row r="144" spans="1:21" s="5" customFormat="1" x14ac:dyDescent="0.2">
      <c r="A144" s="2"/>
      <c r="B144" s="2"/>
      <c r="C144" s="56"/>
      <c r="D144" s="2"/>
      <c r="E144" s="56"/>
      <c r="F144"/>
      <c r="G144"/>
      <c r="H144"/>
      <c r="I144"/>
      <c r="J144"/>
      <c r="K144"/>
      <c r="L144"/>
      <c r="M144"/>
      <c r="N144" s="2"/>
      <c r="O144" s="2"/>
      <c r="P144" s="2"/>
      <c r="Q144" s="2"/>
      <c r="R144" s="2"/>
      <c r="S144"/>
      <c r="T144" s="4"/>
      <c r="U144" s="4"/>
    </row>
    <row r="145" spans="1:21" s="5" customFormat="1" x14ac:dyDescent="0.2">
      <c r="A145" s="2"/>
      <c r="B145" s="2"/>
      <c r="C145" s="56"/>
      <c r="D145" s="2"/>
      <c r="E145" s="56"/>
      <c r="F145"/>
      <c r="G145"/>
      <c r="H145"/>
      <c r="I145"/>
      <c r="J145"/>
      <c r="K145"/>
      <c r="L145"/>
      <c r="M145"/>
      <c r="N145" s="2"/>
      <c r="O145" s="2"/>
      <c r="P145" s="2"/>
      <c r="Q145" s="2"/>
      <c r="R145" s="2"/>
      <c r="S145"/>
      <c r="T145" s="4"/>
      <c r="U145" s="4"/>
    </row>
    <row r="146" spans="1:21" s="5" customFormat="1" x14ac:dyDescent="0.2">
      <c r="A146" s="2"/>
      <c r="B146" s="2"/>
      <c r="C146" s="56"/>
      <c r="D146" s="2"/>
      <c r="E146" s="56"/>
      <c r="F146"/>
      <c r="G146"/>
      <c r="H146"/>
      <c r="I146"/>
      <c r="J146"/>
      <c r="K146"/>
      <c r="L146"/>
      <c r="M146"/>
      <c r="N146" s="2"/>
      <c r="O146" s="2"/>
      <c r="P146" s="2"/>
      <c r="Q146" s="2"/>
      <c r="R146" s="2"/>
      <c r="S146"/>
      <c r="T146" s="4"/>
      <c r="U146" s="4"/>
    </row>
    <row r="147" spans="1:21" s="5" customFormat="1" x14ac:dyDescent="0.2">
      <c r="A147" s="2"/>
      <c r="B147" s="2"/>
      <c r="C147" s="56"/>
      <c r="D147" s="2"/>
      <c r="E147" s="56"/>
      <c r="F147"/>
      <c r="G147"/>
      <c r="H147"/>
      <c r="I147"/>
      <c r="J147"/>
      <c r="K147"/>
      <c r="L147"/>
      <c r="M147"/>
      <c r="N147" s="2"/>
      <c r="O147" s="2"/>
      <c r="P147" s="2"/>
      <c r="Q147" s="2"/>
      <c r="R147" s="2"/>
      <c r="S147"/>
      <c r="T147" s="4"/>
      <c r="U147" s="4"/>
    </row>
    <row r="148" spans="1:21" s="5" customFormat="1" x14ac:dyDescent="0.2">
      <c r="A148" s="2"/>
      <c r="B148" s="2"/>
      <c r="C148" s="56"/>
      <c r="D148" s="2"/>
      <c r="E148" s="56"/>
      <c r="F148"/>
      <c r="G148"/>
      <c r="H148"/>
      <c r="I148"/>
      <c r="J148"/>
      <c r="K148"/>
      <c r="L148"/>
      <c r="M148"/>
      <c r="N148" s="2"/>
      <c r="O148" s="2"/>
      <c r="P148" s="2"/>
      <c r="Q148" s="2"/>
      <c r="R148" s="2"/>
      <c r="S148"/>
      <c r="T148" s="4"/>
      <c r="U148" s="4"/>
    </row>
  </sheetData>
  <sheetProtection algorithmName="SHA-512" hashValue="xEuXeNPjwdA0qSxDD681I3BlcIhvLwO7e/0ORfI3WMAUxQuI6ZUP5x11NcLx/cz/NIvrMaLUqgwUonV1mMamDA==" saltValue="VnixgJCTg9caaEVlzLLNWw==" spinCount="100000" sheet="1" selectLockedCells="1"/>
  <autoFilter ref="B3:R3" xr:uid="{7C6FC6D5-AAC8-4523-858D-0892689D2677}"/>
  <mergeCells count="9">
    <mergeCell ref="B1:R1"/>
    <mergeCell ref="A2:E2"/>
    <mergeCell ref="F2:F3"/>
    <mergeCell ref="G2:G3"/>
    <mergeCell ref="H2:H3"/>
    <mergeCell ref="I2:I3"/>
    <mergeCell ref="J2:J3"/>
    <mergeCell ref="K2:N2"/>
    <mergeCell ref="O2:R2"/>
  </mergeCells>
  <dataValidations disablePrompts="1" count="1">
    <dataValidation type="list" allowBlank="1" showInputMessage="1" showErrorMessage="1" sqref="T3" xr:uid="{9F13180D-ABBF-41F6-9F7B-37B51B48E357}">
      <formula1>"SCM,BRD,CER"</formula1>
    </dataValidation>
  </dataValidations>
  <pageMargins left="0.7" right="0.7" top="0.75" bottom="0.75" header="0.3" footer="0.3"/>
  <pageSetup paperSize="8" scale="65" fitToHeight="0" orientation="landscape" r:id="rId1"/>
  <headerFooter>
    <oddHeader>&amp;C&amp;"Calibri"&amp;10&amp;K000000 Official&amp;1#_x000D_</oddHeader>
    <oddFooter>&amp;C_x000D_&amp;1#&amp;"Calibri"&amp;10&amp;K000000 Official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873B-F88D-4146-8F7F-B3B50CA05A54}">
  <sheetPr>
    <tabColor rgb="FF00B0F0"/>
    <pageSetUpPr fitToPage="1"/>
  </sheetPr>
  <dimension ref="A1:V142"/>
  <sheetViews>
    <sheetView topLeftCell="A3" zoomScale="80" zoomScaleNormal="80" workbookViewId="0">
      <selection activeCell="E22" sqref="E22"/>
    </sheetView>
  </sheetViews>
  <sheetFormatPr defaultColWidth="8.875" defaultRowHeight="14.25" x14ac:dyDescent="0.2"/>
  <cols>
    <col min="1" max="1" width="8.625" style="2" customWidth="1"/>
    <col min="2" max="2" width="9.625" style="2" customWidth="1"/>
    <col min="3" max="3" width="9.625" style="56" customWidth="1"/>
    <col min="4" max="4" width="9.625" style="2" customWidth="1"/>
    <col min="5" max="5" width="9.625" style="56" customWidth="1"/>
    <col min="6" max="6" width="60.625" customWidth="1"/>
    <col min="7" max="7" width="17.125" bestFit="1" customWidth="1"/>
    <col min="8" max="8" width="18.125" customWidth="1"/>
    <col min="9" max="9" width="10.125" customWidth="1"/>
    <col min="10" max="10" width="15.125" customWidth="1"/>
    <col min="11" max="11" width="38.875" customWidth="1"/>
    <col min="12" max="13" width="11.625" customWidth="1"/>
    <col min="14" max="14" width="11.625" style="2" customWidth="1"/>
    <col min="15" max="18" width="8.875" style="2"/>
    <col min="22" max="22" width="8.875" style="5"/>
    <col min="23" max="23" width="16.125" bestFit="1" customWidth="1"/>
    <col min="25" max="25" width="15.125" customWidth="1"/>
  </cols>
  <sheetData>
    <row r="1" spans="1:22" ht="18" x14ac:dyDescent="0.25">
      <c r="A1" s="38"/>
      <c r="B1" s="118" t="s">
        <v>735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V1" s="5" t="s">
        <v>417</v>
      </c>
    </row>
    <row r="2" spans="1:22" x14ac:dyDescent="0.2">
      <c r="A2" s="121" t="s">
        <v>250</v>
      </c>
      <c r="B2" s="121"/>
      <c r="C2" s="121"/>
      <c r="D2" s="121"/>
      <c r="E2" s="121"/>
      <c r="F2" s="119" t="s">
        <v>10</v>
      </c>
      <c r="G2" s="119" t="s">
        <v>11</v>
      </c>
      <c r="H2" s="119" t="s">
        <v>13</v>
      </c>
      <c r="I2" s="120" t="s">
        <v>15</v>
      </c>
      <c r="J2" s="119" t="s">
        <v>17</v>
      </c>
      <c r="K2" s="119" t="s">
        <v>26</v>
      </c>
      <c r="L2" s="119"/>
      <c r="M2" s="119"/>
      <c r="N2" s="119"/>
      <c r="O2" s="119" t="s">
        <v>34</v>
      </c>
      <c r="P2" s="119"/>
      <c r="Q2" s="119"/>
      <c r="R2" s="119"/>
    </row>
    <row r="3" spans="1:22" x14ac:dyDescent="0.2">
      <c r="A3" s="29" t="s">
        <v>0</v>
      </c>
      <c r="B3" s="29" t="s">
        <v>2</v>
      </c>
      <c r="C3" s="51" t="s">
        <v>4</v>
      </c>
      <c r="D3" s="29" t="s">
        <v>6</v>
      </c>
      <c r="E3" s="51" t="s">
        <v>8</v>
      </c>
      <c r="F3" s="119"/>
      <c r="G3" s="119"/>
      <c r="H3" s="119"/>
      <c r="I3" s="120"/>
      <c r="J3" s="119"/>
      <c r="K3" s="7" t="s">
        <v>27</v>
      </c>
      <c r="L3" s="7" t="s">
        <v>4</v>
      </c>
      <c r="M3" s="7" t="s">
        <v>30</v>
      </c>
      <c r="N3" s="28" t="s">
        <v>32</v>
      </c>
      <c r="O3" s="28" t="s">
        <v>35</v>
      </c>
      <c r="P3" s="28" t="s">
        <v>37</v>
      </c>
      <c r="Q3" s="28" t="s">
        <v>39</v>
      </c>
      <c r="R3" s="28" t="s">
        <v>41</v>
      </c>
      <c r="T3" s="3" t="s">
        <v>251</v>
      </c>
    </row>
    <row r="4" spans="1:22" ht="14.25" customHeight="1" x14ac:dyDescent="0.2">
      <c r="A4" s="48" t="s">
        <v>252</v>
      </c>
      <c r="B4" s="48"/>
      <c r="C4" s="52">
        <f>$C$26-TIME(5,30,0)</f>
        <v>0.20833333333333334</v>
      </c>
      <c r="D4" s="52"/>
      <c r="E4" s="52"/>
      <c r="F4" s="36" t="s">
        <v>253</v>
      </c>
      <c r="G4" s="18"/>
      <c r="H4" s="18"/>
      <c r="I4" s="18" t="s">
        <v>254</v>
      </c>
      <c r="J4" s="37"/>
      <c r="K4" s="37"/>
      <c r="L4" s="37"/>
      <c r="M4" s="37"/>
      <c r="N4" s="38"/>
      <c r="O4" s="38"/>
      <c r="P4" s="38"/>
      <c r="Q4" s="38"/>
      <c r="R4" s="38" t="s">
        <v>256</v>
      </c>
    </row>
    <row r="5" spans="1:22" ht="14.25" customHeight="1" x14ac:dyDescent="0.2">
      <c r="A5" s="48" t="s">
        <v>252</v>
      </c>
      <c r="B5" s="48"/>
      <c r="C5" s="52">
        <f>$C$26-TIME(5,15,0)</f>
        <v>0.21875</v>
      </c>
      <c r="D5" s="52">
        <f>E5-C5</f>
        <v>2.0833333333333343E-2</v>
      </c>
      <c r="E5" s="52">
        <v>0.23958333333333334</v>
      </c>
      <c r="F5" s="39" t="s">
        <v>257</v>
      </c>
      <c r="G5" s="18"/>
      <c r="H5" s="18"/>
      <c r="I5" s="18" t="s">
        <v>254</v>
      </c>
      <c r="J5" s="37"/>
      <c r="K5" s="37"/>
      <c r="L5" s="37"/>
      <c r="M5" s="37"/>
      <c r="N5" s="38"/>
      <c r="O5" s="38"/>
      <c r="P5" s="38"/>
      <c r="Q5" s="38"/>
      <c r="R5" s="38"/>
    </row>
    <row r="6" spans="1:22" x14ac:dyDescent="0.2">
      <c r="A6" s="48" t="s">
        <v>252</v>
      </c>
      <c r="B6" s="48"/>
      <c r="C6" s="52">
        <v>0.25</v>
      </c>
      <c r="D6" s="52">
        <f>E6-C6</f>
        <v>0.75</v>
      </c>
      <c r="E6" s="52">
        <v>1</v>
      </c>
      <c r="F6" s="36" t="s">
        <v>258</v>
      </c>
      <c r="G6" s="18"/>
      <c r="H6" s="18"/>
      <c r="I6" s="18" t="s">
        <v>254</v>
      </c>
      <c r="J6" s="37"/>
      <c r="K6" s="37"/>
      <c r="L6" s="37"/>
      <c r="M6" s="37"/>
      <c r="N6" s="38"/>
      <c r="O6" s="38"/>
      <c r="P6" s="38"/>
      <c r="Q6" s="38"/>
      <c r="R6" s="38" t="s">
        <v>256</v>
      </c>
      <c r="T6" s="4"/>
      <c r="U6" s="4"/>
      <c r="V6" s="6"/>
    </row>
    <row r="7" spans="1:22" x14ac:dyDescent="0.2">
      <c r="A7" s="48" t="s">
        <v>252</v>
      </c>
      <c r="B7" s="48"/>
      <c r="C7" s="52">
        <v>0.25694444444444448</v>
      </c>
      <c r="D7" s="52"/>
      <c r="E7" s="52"/>
      <c r="F7" s="18" t="s">
        <v>259</v>
      </c>
      <c r="G7" s="18"/>
      <c r="H7" s="18"/>
      <c r="I7" s="18" t="s">
        <v>254</v>
      </c>
      <c r="J7" s="37"/>
      <c r="K7" s="37"/>
      <c r="L7" s="37"/>
      <c r="M7" s="37"/>
      <c r="N7" s="38"/>
      <c r="O7" s="38"/>
      <c r="P7" s="38"/>
      <c r="Q7" s="38"/>
      <c r="R7" s="38" t="s">
        <v>256</v>
      </c>
      <c r="T7" s="4"/>
      <c r="U7" s="4"/>
      <c r="V7" s="6"/>
    </row>
    <row r="8" spans="1:22" x14ac:dyDescent="0.2">
      <c r="A8" s="48" t="s">
        <v>252</v>
      </c>
      <c r="B8" s="48"/>
      <c r="C8" s="52">
        <v>0.27083333333333331</v>
      </c>
      <c r="D8" s="52">
        <f>E8-C8</f>
        <v>0.66666666666666674</v>
      </c>
      <c r="E8" s="52">
        <v>0.9375</v>
      </c>
      <c r="F8" s="62" t="s">
        <v>260</v>
      </c>
      <c r="G8" s="18" t="s">
        <v>261</v>
      </c>
      <c r="H8" s="18"/>
      <c r="I8" s="18" t="s">
        <v>254</v>
      </c>
      <c r="J8" s="37"/>
      <c r="K8" s="37"/>
      <c r="L8" s="37"/>
      <c r="M8" s="37"/>
      <c r="N8" s="38"/>
      <c r="O8" s="38"/>
      <c r="P8" s="38"/>
      <c r="Q8" s="38"/>
      <c r="R8" s="38" t="s">
        <v>256</v>
      </c>
      <c r="T8" s="4"/>
      <c r="U8" s="4"/>
    </row>
    <row r="9" spans="1:22" x14ac:dyDescent="0.2">
      <c r="A9" s="48" t="s">
        <v>252</v>
      </c>
      <c r="B9" s="48"/>
      <c r="C9" s="52">
        <f>$C$26-TIME(3,30,0)</f>
        <v>0.29166666666666663</v>
      </c>
      <c r="D9" s="52"/>
      <c r="E9" s="52"/>
      <c r="F9" s="69" t="s">
        <v>262</v>
      </c>
      <c r="G9" s="18"/>
      <c r="H9" s="18"/>
      <c r="I9" s="18" t="s">
        <v>254</v>
      </c>
      <c r="J9" s="37"/>
      <c r="K9" s="37"/>
      <c r="L9" s="37"/>
      <c r="M9" s="37"/>
      <c r="N9" s="38"/>
      <c r="O9" s="38"/>
      <c r="P9" s="38"/>
      <c r="Q9" s="38"/>
      <c r="R9" s="38"/>
      <c r="T9" s="4"/>
      <c r="U9" s="4"/>
    </row>
    <row r="10" spans="1:22" x14ac:dyDescent="0.2">
      <c r="A10" s="48" t="s">
        <v>252</v>
      </c>
      <c r="B10" s="48"/>
      <c r="C10" s="52">
        <v>0.29166666666666669</v>
      </c>
      <c r="D10" s="52">
        <f>E10-C10</f>
        <v>0.4583333333333332</v>
      </c>
      <c r="E10" s="52">
        <f>$C$63+TIME(1,0,0)</f>
        <v>0.74999999999999989</v>
      </c>
      <c r="F10" s="18" t="s">
        <v>263</v>
      </c>
      <c r="G10" s="18" t="s">
        <v>264</v>
      </c>
      <c r="H10" s="18"/>
      <c r="I10" s="18" t="s">
        <v>254</v>
      </c>
      <c r="J10" s="37"/>
      <c r="K10" s="37"/>
      <c r="L10" s="37"/>
      <c r="M10" s="37"/>
      <c r="N10" s="38"/>
      <c r="O10" s="38" t="s">
        <v>256</v>
      </c>
      <c r="P10" s="38"/>
      <c r="Q10" s="38"/>
      <c r="R10" s="38" t="s">
        <v>256</v>
      </c>
      <c r="T10" s="4"/>
      <c r="U10" s="4"/>
    </row>
    <row r="11" spans="1:22" x14ac:dyDescent="0.2">
      <c r="A11" s="48" t="s">
        <v>252</v>
      </c>
      <c r="B11" s="48"/>
      <c r="C11" s="52">
        <v>0.29166666666666669</v>
      </c>
      <c r="D11" s="52">
        <f>E11-C11</f>
        <v>0.10416666666666663</v>
      </c>
      <c r="E11" s="52">
        <v>0.39583333333333331</v>
      </c>
      <c r="F11" s="62" t="s">
        <v>265</v>
      </c>
      <c r="G11" s="18" t="s">
        <v>266</v>
      </c>
      <c r="H11" s="18"/>
      <c r="I11" s="18" t="s">
        <v>254</v>
      </c>
      <c r="J11" s="37"/>
      <c r="K11" s="37"/>
      <c r="L11" s="37"/>
      <c r="M11" s="37"/>
      <c r="N11" s="38"/>
      <c r="O11" s="38" t="s">
        <v>256</v>
      </c>
      <c r="P11" s="38"/>
      <c r="Q11" s="38"/>
      <c r="R11" s="38" t="s">
        <v>256</v>
      </c>
      <c r="T11" s="4"/>
      <c r="U11" s="4"/>
    </row>
    <row r="12" spans="1:22" ht="14.25" customHeight="1" x14ac:dyDescent="0.2">
      <c r="A12" s="48" t="s">
        <v>252</v>
      </c>
      <c r="B12" s="48"/>
      <c r="C12" s="52">
        <f>$C$26-TIME(2,30,0)</f>
        <v>0.33333333333333331</v>
      </c>
      <c r="D12" s="52"/>
      <c r="E12" s="52"/>
      <c r="F12" s="69" t="s">
        <v>267</v>
      </c>
      <c r="G12" s="18"/>
      <c r="H12" s="18"/>
      <c r="I12" s="18" t="s">
        <v>254</v>
      </c>
      <c r="J12" s="37"/>
      <c r="K12" s="37"/>
      <c r="L12" s="37"/>
      <c r="M12" s="37"/>
      <c r="N12" s="38"/>
      <c r="O12" s="38"/>
      <c r="P12" s="38"/>
      <c r="Q12" s="38"/>
      <c r="R12" s="38"/>
      <c r="T12" s="4"/>
      <c r="U12" s="4"/>
    </row>
    <row r="13" spans="1:22" x14ac:dyDescent="0.2">
      <c r="A13" s="48" t="s">
        <v>252</v>
      </c>
      <c r="B13" s="48"/>
      <c r="C13" s="52">
        <f>$C$26-TIME(2,30,0)</f>
        <v>0.33333333333333331</v>
      </c>
      <c r="D13" s="52">
        <f>E13-C13</f>
        <v>9.375E-2</v>
      </c>
      <c r="E13" s="52">
        <f>$C$26-TIME(0,15,0)</f>
        <v>0.42708333333333331</v>
      </c>
      <c r="F13" s="18" t="s">
        <v>268</v>
      </c>
      <c r="G13" s="18" t="s">
        <v>269</v>
      </c>
      <c r="H13" s="18"/>
      <c r="I13" s="18" t="s">
        <v>254</v>
      </c>
      <c r="J13" s="37"/>
      <c r="K13" s="37"/>
      <c r="L13" s="37"/>
      <c r="M13" s="37"/>
      <c r="N13" s="38"/>
      <c r="O13" s="38" t="s">
        <v>256</v>
      </c>
      <c r="P13" s="38"/>
      <c r="Q13" s="38"/>
      <c r="R13" s="38" t="s">
        <v>256</v>
      </c>
      <c r="T13" s="4"/>
      <c r="U13" s="4"/>
      <c r="V13" s="6"/>
    </row>
    <row r="14" spans="1:22" x14ac:dyDescent="0.2">
      <c r="A14" s="48" t="s">
        <v>252</v>
      </c>
      <c r="B14" s="48"/>
      <c r="C14" s="52">
        <f>$C$26-TIME(2,0,0)</f>
        <v>0.35416666666666669</v>
      </c>
      <c r="D14" s="52"/>
      <c r="E14" s="52"/>
      <c r="F14" s="92" t="s">
        <v>53</v>
      </c>
      <c r="G14" s="18"/>
      <c r="H14" s="18"/>
      <c r="I14" s="18" t="s">
        <v>254</v>
      </c>
      <c r="J14" s="37"/>
      <c r="K14" s="37"/>
      <c r="L14" s="37"/>
      <c r="M14" s="37"/>
      <c r="N14" s="38"/>
      <c r="O14" s="38"/>
      <c r="P14" s="38"/>
      <c r="Q14" s="38"/>
      <c r="R14" s="38"/>
      <c r="T14" s="4"/>
      <c r="U14" s="4"/>
    </row>
    <row r="15" spans="1:22" x14ac:dyDescent="0.2">
      <c r="A15" s="48" t="s">
        <v>252</v>
      </c>
      <c r="B15" s="48"/>
      <c r="C15" s="52">
        <f>$C$26-TIME(2,0,0)</f>
        <v>0.35416666666666669</v>
      </c>
      <c r="D15" s="52"/>
      <c r="E15" s="52"/>
      <c r="F15" s="18" t="s">
        <v>270</v>
      </c>
      <c r="G15" s="18" t="s">
        <v>271</v>
      </c>
      <c r="H15" s="18"/>
      <c r="I15" s="18" t="s">
        <v>254</v>
      </c>
      <c r="J15" s="37"/>
      <c r="K15" s="37"/>
      <c r="L15" s="37"/>
      <c r="M15" s="37"/>
      <c r="N15" s="38"/>
      <c r="O15" s="38"/>
      <c r="P15" s="38"/>
      <c r="Q15" s="38"/>
      <c r="R15" s="38" t="s">
        <v>256</v>
      </c>
      <c r="T15" s="4"/>
      <c r="U15" s="4"/>
      <c r="V15" s="6"/>
    </row>
    <row r="16" spans="1:22" x14ac:dyDescent="0.2">
      <c r="A16" s="48" t="s">
        <v>252</v>
      </c>
      <c r="B16" s="48"/>
      <c r="C16" s="52">
        <f>$C$26-TIME(1,30,0)</f>
        <v>0.375</v>
      </c>
      <c r="D16" s="52">
        <v>6.25E-2</v>
      </c>
      <c r="E16" s="52">
        <f>$C$26-TIME(0,0,0)</f>
        <v>0.4375</v>
      </c>
      <c r="F16" s="69" t="s">
        <v>55</v>
      </c>
      <c r="G16" s="18" t="s">
        <v>39</v>
      </c>
      <c r="H16" s="18"/>
      <c r="I16" s="18" t="s">
        <v>254</v>
      </c>
      <c r="J16" s="37"/>
      <c r="K16" s="37"/>
      <c r="L16" s="37"/>
      <c r="M16" s="37"/>
      <c r="N16" s="38"/>
      <c r="O16" s="38" t="s">
        <v>256</v>
      </c>
      <c r="P16" s="38"/>
      <c r="Q16" s="38" t="s">
        <v>256</v>
      </c>
      <c r="R16" s="38" t="s">
        <v>256</v>
      </c>
      <c r="T16" s="4"/>
      <c r="U16" s="4"/>
    </row>
    <row r="17" spans="1:21" x14ac:dyDescent="0.2">
      <c r="A17" s="48" t="s">
        <v>252</v>
      </c>
      <c r="B17" s="48"/>
      <c r="C17" s="52">
        <f>$C$26-TIME(1,15,0)</f>
        <v>0.38541666666666669</v>
      </c>
      <c r="D17" s="52"/>
      <c r="E17" s="52"/>
      <c r="F17" s="18" t="s">
        <v>272</v>
      </c>
      <c r="G17" s="18" t="s">
        <v>271</v>
      </c>
      <c r="H17" s="18"/>
      <c r="I17" s="18" t="s">
        <v>254</v>
      </c>
      <c r="J17" s="37"/>
      <c r="K17" s="37"/>
      <c r="L17" s="37"/>
      <c r="M17" s="37"/>
      <c r="N17" s="38"/>
      <c r="O17" s="38"/>
      <c r="P17" s="38"/>
      <c r="Q17" s="38"/>
      <c r="R17" s="38" t="s">
        <v>256</v>
      </c>
      <c r="T17" s="4"/>
      <c r="U17" s="4"/>
    </row>
    <row r="18" spans="1:21" x14ac:dyDescent="0.2">
      <c r="A18" s="48" t="s">
        <v>252</v>
      </c>
      <c r="B18" s="48"/>
      <c r="C18" s="52">
        <f>$C$26-TIME(1,0,0)</f>
        <v>0.39583333333333331</v>
      </c>
      <c r="D18" s="52">
        <f>E18-C18</f>
        <v>2.083333333333337E-2</v>
      </c>
      <c r="E18" s="52">
        <v>0.41666666666666669</v>
      </c>
      <c r="F18" s="18" t="s">
        <v>52</v>
      </c>
      <c r="G18" s="18" t="s">
        <v>271</v>
      </c>
      <c r="H18" s="18"/>
      <c r="I18" s="18" t="s">
        <v>254</v>
      </c>
      <c r="J18" s="37"/>
      <c r="K18" s="37"/>
      <c r="L18" s="37"/>
      <c r="M18" s="37"/>
      <c r="N18" s="38"/>
      <c r="O18" s="38"/>
      <c r="P18" s="38"/>
      <c r="Q18" s="38"/>
      <c r="R18" s="38"/>
      <c r="T18" s="4"/>
      <c r="U18" s="4"/>
    </row>
    <row r="19" spans="1:21" x14ac:dyDescent="0.2">
      <c r="A19" s="48" t="s">
        <v>252</v>
      </c>
      <c r="B19" s="48"/>
      <c r="C19" s="52">
        <v>0.39583333333333331</v>
      </c>
      <c r="D19" s="52"/>
      <c r="E19" s="52"/>
      <c r="F19" s="62" t="s">
        <v>273</v>
      </c>
      <c r="G19" s="18" t="s">
        <v>266</v>
      </c>
      <c r="H19" s="18"/>
      <c r="I19" s="18" t="s">
        <v>254</v>
      </c>
      <c r="J19" s="37"/>
      <c r="K19" s="37"/>
      <c r="L19" s="37"/>
      <c r="M19" s="37"/>
      <c r="N19" s="38"/>
      <c r="O19" s="38" t="s">
        <v>256</v>
      </c>
      <c r="P19" s="38"/>
      <c r="Q19" s="38" t="s">
        <v>256</v>
      </c>
      <c r="R19" s="38" t="s">
        <v>256</v>
      </c>
      <c r="T19" s="4"/>
      <c r="U19" s="4"/>
    </row>
    <row r="20" spans="1:21" x14ac:dyDescent="0.2">
      <c r="A20" s="48" t="s">
        <v>252</v>
      </c>
      <c r="B20" s="48"/>
      <c r="C20" s="52">
        <f>$C$26-TIME(0,15,0)</f>
        <v>0.42708333333333331</v>
      </c>
      <c r="D20" s="52"/>
      <c r="E20" s="52"/>
      <c r="F20" s="18" t="s">
        <v>274</v>
      </c>
      <c r="G20" s="18" t="s">
        <v>269</v>
      </c>
      <c r="H20" s="18"/>
      <c r="I20" s="18" t="s">
        <v>254</v>
      </c>
      <c r="J20" s="37"/>
      <c r="K20" s="37"/>
      <c r="L20" s="37"/>
      <c r="M20" s="37"/>
      <c r="N20" s="38"/>
      <c r="O20" s="38" t="s">
        <v>256</v>
      </c>
      <c r="P20" s="38"/>
      <c r="Q20" s="38" t="s">
        <v>256</v>
      </c>
      <c r="R20" s="38" t="s">
        <v>256</v>
      </c>
      <c r="T20" s="4"/>
      <c r="U20" s="4"/>
    </row>
    <row r="21" spans="1:21" x14ac:dyDescent="0.2">
      <c r="A21" s="48" t="s">
        <v>252</v>
      </c>
      <c r="B21" s="48"/>
      <c r="C21" s="52">
        <f>$C$26-TIME(0,15,0)</f>
        <v>0.42708333333333331</v>
      </c>
      <c r="D21" s="52">
        <f>E21-C21</f>
        <v>8.5740740740741839E-2</v>
      </c>
      <c r="E21" s="52">
        <f>C52</f>
        <v>0.51282407407407515</v>
      </c>
      <c r="F21" s="18" t="s">
        <v>56</v>
      </c>
      <c r="G21" s="18" t="s">
        <v>269</v>
      </c>
      <c r="H21" s="18"/>
      <c r="I21" s="18" t="s">
        <v>254</v>
      </c>
      <c r="J21" s="37"/>
      <c r="K21" s="37"/>
      <c r="L21" s="37"/>
      <c r="M21" s="37"/>
      <c r="N21" s="38"/>
      <c r="O21" s="38" t="s">
        <v>256</v>
      </c>
      <c r="P21" s="38"/>
      <c r="Q21" s="38" t="s">
        <v>256</v>
      </c>
      <c r="R21" s="38" t="s">
        <v>256</v>
      </c>
      <c r="T21" s="4"/>
      <c r="U21" s="4"/>
    </row>
    <row r="22" spans="1:21" x14ac:dyDescent="0.2">
      <c r="A22" s="48" t="s">
        <v>252</v>
      </c>
      <c r="B22" s="48"/>
      <c r="C22" s="52">
        <f>$C$26-TIME(0,5,0)</f>
        <v>0.43402777777777779</v>
      </c>
      <c r="D22" s="52">
        <f>E22-C22</f>
        <v>2.4305555555555469E-3</v>
      </c>
      <c r="E22" s="52">
        <f>$C$26-TIME(0,1,30)</f>
        <v>0.43645833333333334</v>
      </c>
      <c r="F22" s="18" t="s">
        <v>275</v>
      </c>
      <c r="G22" s="18" t="s">
        <v>269</v>
      </c>
      <c r="H22" s="18"/>
      <c r="I22" s="18" t="s">
        <v>254</v>
      </c>
      <c r="J22" s="18" t="s">
        <v>736</v>
      </c>
      <c r="K22" s="37"/>
      <c r="L22" s="37"/>
      <c r="M22" s="37"/>
      <c r="N22" s="38"/>
      <c r="O22" s="38" t="s">
        <v>256</v>
      </c>
      <c r="P22" s="38" t="s">
        <v>256</v>
      </c>
      <c r="Q22" s="38" t="s">
        <v>256</v>
      </c>
      <c r="R22" s="38"/>
      <c r="T22" s="4"/>
      <c r="U22" s="4"/>
    </row>
    <row r="23" spans="1:21" x14ac:dyDescent="0.2">
      <c r="A23" s="48" t="s">
        <v>252</v>
      </c>
      <c r="B23" s="48"/>
      <c r="C23" s="52">
        <f>$C$26-TIME(0,1,30)</f>
        <v>0.43645833333333334</v>
      </c>
      <c r="D23" s="52">
        <f>E23-C23</f>
        <v>3.4722222222222099E-4</v>
      </c>
      <c r="E23" s="52">
        <f>$C$26-TIME(0,1,0)</f>
        <v>0.43680555555555556</v>
      </c>
      <c r="F23" s="18" t="s">
        <v>277</v>
      </c>
      <c r="G23" s="18" t="s">
        <v>269</v>
      </c>
      <c r="H23" s="18"/>
      <c r="I23" s="18" t="s">
        <v>254</v>
      </c>
      <c r="J23" s="18" t="s">
        <v>736</v>
      </c>
      <c r="K23" s="37"/>
      <c r="L23" s="37"/>
      <c r="M23" s="37"/>
      <c r="N23" s="38"/>
      <c r="O23" s="38" t="s">
        <v>256</v>
      </c>
      <c r="P23" s="38" t="s">
        <v>256</v>
      </c>
      <c r="Q23" s="38" t="s">
        <v>256</v>
      </c>
      <c r="R23" s="38"/>
      <c r="T23" s="4"/>
      <c r="U23" s="4"/>
    </row>
    <row r="24" spans="1:21" x14ac:dyDescent="0.2">
      <c r="A24" s="48" t="s">
        <v>252</v>
      </c>
      <c r="B24" s="48"/>
      <c r="C24" s="52">
        <f>$C$26-TIME(0,1,0)</f>
        <v>0.43680555555555556</v>
      </c>
      <c r="D24" s="52">
        <f>E24-C24</f>
        <v>6.9444444444444198E-4</v>
      </c>
      <c r="E24" s="52">
        <f>$C$26-TIME(0,0,0)</f>
        <v>0.4375</v>
      </c>
      <c r="F24" s="18" t="s">
        <v>278</v>
      </c>
      <c r="G24" s="18"/>
      <c r="H24" s="18"/>
      <c r="I24" s="18"/>
      <c r="J24" s="18"/>
      <c r="K24" s="37"/>
      <c r="L24" s="37"/>
      <c r="M24" s="37"/>
      <c r="N24" s="38"/>
      <c r="O24" s="38"/>
      <c r="P24" s="38"/>
      <c r="Q24" s="38" t="s">
        <v>256</v>
      </c>
      <c r="R24" s="38"/>
      <c r="T24" s="4"/>
      <c r="U24" s="4"/>
    </row>
    <row r="25" spans="1:21" x14ac:dyDescent="0.2">
      <c r="A25" s="41"/>
      <c r="B25" s="41"/>
      <c r="C25" s="65">
        <v>0.4375</v>
      </c>
      <c r="D25" s="41"/>
      <c r="E25" s="53"/>
      <c r="F25" s="31" t="s">
        <v>57</v>
      </c>
      <c r="G25" s="40"/>
      <c r="H25" s="40"/>
      <c r="I25" s="40" t="s">
        <v>254</v>
      </c>
      <c r="J25" s="40" t="s">
        <v>736</v>
      </c>
      <c r="K25" s="40"/>
      <c r="L25" s="108">
        <f t="shared" ref="L25:L53" si="0">C25</f>
        <v>0.4375</v>
      </c>
      <c r="M25" s="103"/>
      <c r="N25" s="41"/>
      <c r="O25" s="41" t="s">
        <v>256</v>
      </c>
      <c r="P25" s="41" t="s">
        <v>256</v>
      </c>
      <c r="Q25" s="41" t="s">
        <v>256</v>
      </c>
      <c r="R25" s="41" t="s">
        <v>256</v>
      </c>
      <c r="T25" s="4"/>
      <c r="U25" s="4"/>
    </row>
    <row r="26" spans="1:21" x14ac:dyDescent="0.2">
      <c r="A26" s="43"/>
      <c r="B26" s="43"/>
      <c r="C26" s="57">
        <v>0.4375</v>
      </c>
      <c r="D26" s="43"/>
      <c r="E26" s="54"/>
      <c r="F26" s="32" t="s">
        <v>60</v>
      </c>
      <c r="G26" s="42"/>
      <c r="H26" s="42"/>
      <c r="I26" s="42" t="s">
        <v>254</v>
      </c>
      <c r="J26" s="42" t="s">
        <v>736</v>
      </c>
      <c r="K26" s="42"/>
      <c r="L26" s="104">
        <f t="shared" si="0"/>
        <v>0.4375</v>
      </c>
      <c r="M26" s="104"/>
      <c r="N26" s="43"/>
      <c r="O26" s="43" t="s">
        <v>256</v>
      </c>
      <c r="P26" s="43" t="s">
        <v>256</v>
      </c>
      <c r="Q26" s="43" t="s">
        <v>256</v>
      </c>
      <c r="R26" s="43" t="s">
        <v>256</v>
      </c>
      <c r="T26" s="4"/>
      <c r="U26" s="4"/>
    </row>
    <row r="27" spans="1:21" x14ac:dyDescent="0.2">
      <c r="A27" s="48" t="s">
        <v>279</v>
      </c>
      <c r="B27" s="52">
        <f t="shared" ref="B27:B51" si="1">C27-$C$26</f>
        <v>0</v>
      </c>
      <c r="C27" s="52">
        <f>'[1]Day 5-H '!$D$10</f>
        <v>0.4375</v>
      </c>
      <c r="D27" s="50">
        <f t="shared" ref="D27:D55" si="2">E27-C27</f>
        <v>2.6041666666666852E-3</v>
      </c>
      <c r="E27" s="52">
        <f>C28</f>
        <v>0.44010416666666669</v>
      </c>
      <c r="F27" s="47" t="s">
        <v>737</v>
      </c>
      <c r="G27" s="18" t="s">
        <v>269</v>
      </c>
      <c r="H27" s="18"/>
      <c r="I27" s="18" t="s">
        <v>254</v>
      </c>
      <c r="J27" s="18" t="s">
        <v>736</v>
      </c>
      <c r="K27" s="44" t="s">
        <v>738</v>
      </c>
      <c r="L27" s="105">
        <f t="shared" si="0"/>
        <v>0.4375</v>
      </c>
      <c r="M27" s="105">
        <f t="shared" ref="M27:M51" si="3">E27</f>
        <v>0.44010416666666669</v>
      </c>
      <c r="N27" s="38"/>
      <c r="O27" s="38" t="s">
        <v>256</v>
      </c>
      <c r="P27" s="38" t="s">
        <v>256</v>
      </c>
      <c r="Q27" s="38" t="s">
        <v>256</v>
      </c>
      <c r="R27" s="38"/>
      <c r="T27" s="4"/>
      <c r="U27" s="4"/>
    </row>
    <row r="28" spans="1:21" x14ac:dyDescent="0.2">
      <c r="A28" s="48" t="s">
        <v>279</v>
      </c>
      <c r="B28" s="52">
        <f t="shared" si="1"/>
        <v>2.6041666666666852E-3</v>
      </c>
      <c r="C28" s="52">
        <f>'[1]Day 5-H '!$D$13</f>
        <v>0.44010416666666669</v>
      </c>
      <c r="D28" s="50">
        <f t="shared" si="2"/>
        <v>2.7083333333333681E-3</v>
      </c>
      <c r="E28" s="52">
        <f t="shared" ref="E28:E51" si="4">C29</f>
        <v>0.44281250000000005</v>
      </c>
      <c r="F28" s="47" t="s">
        <v>739</v>
      </c>
      <c r="G28" s="18" t="s">
        <v>269</v>
      </c>
      <c r="H28" s="18"/>
      <c r="I28" s="18" t="s">
        <v>254</v>
      </c>
      <c r="J28" s="18" t="s">
        <v>736</v>
      </c>
      <c r="K28" s="44" t="s">
        <v>740</v>
      </c>
      <c r="L28" s="105">
        <f t="shared" si="0"/>
        <v>0.44010416666666669</v>
      </c>
      <c r="M28" s="105">
        <f t="shared" si="3"/>
        <v>0.44281250000000005</v>
      </c>
      <c r="N28" s="38"/>
      <c r="O28" s="38" t="s">
        <v>256</v>
      </c>
      <c r="P28" s="38" t="s">
        <v>256</v>
      </c>
      <c r="Q28" s="38" t="s">
        <v>256</v>
      </c>
      <c r="R28" s="38"/>
      <c r="T28" s="4"/>
      <c r="U28" s="4"/>
    </row>
    <row r="29" spans="1:21" x14ac:dyDescent="0.2">
      <c r="A29" s="48" t="s">
        <v>279</v>
      </c>
      <c r="B29" s="52">
        <f t="shared" si="1"/>
        <v>5.3125000000000533E-3</v>
      </c>
      <c r="C29" s="52">
        <f>'[1]Day 5-H '!$D$16</f>
        <v>0.44281250000000005</v>
      </c>
      <c r="D29" s="50">
        <f t="shared" si="2"/>
        <v>2.9629629629630005E-3</v>
      </c>
      <c r="E29" s="52">
        <f t="shared" si="4"/>
        <v>0.44577546296296305</v>
      </c>
      <c r="F29" s="47" t="s">
        <v>741</v>
      </c>
      <c r="G29" s="18" t="s">
        <v>269</v>
      </c>
      <c r="H29" s="18"/>
      <c r="I29" s="18" t="s">
        <v>254</v>
      </c>
      <c r="J29" s="18" t="s">
        <v>736</v>
      </c>
      <c r="K29" s="44" t="s">
        <v>742</v>
      </c>
      <c r="L29" s="105">
        <f t="shared" si="0"/>
        <v>0.44281250000000005</v>
      </c>
      <c r="M29" s="105">
        <f t="shared" si="3"/>
        <v>0.44577546296296305</v>
      </c>
      <c r="N29" s="38"/>
      <c r="O29" s="38" t="s">
        <v>256</v>
      </c>
      <c r="P29" s="38" t="s">
        <v>256</v>
      </c>
      <c r="Q29" s="38" t="s">
        <v>256</v>
      </c>
      <c r="R29" s="38"/>
      <c r="T29" s="4"/>
      <c r="U29" s="4"/>
    </row>
    <row r="30" spans="1:21" x14ac:dyDescent="0.2">
      <c r="A30" s="48" t="s">
        <v>279</v>
      </c>
      <c r="B30" s="52">
        <f t="shared" si="1"/>
        <v>8.2754629629630538E-3</v>
      </c>
      <c r="C30" s="52">
        <f>'[1]Day 5-H '!$D$20</f>
        <v>0.44577546296296305</v>
      </c>
      <c r="D30" s="50">
        <f t="shared" si="2"/>
        <v>3.4375000000000377E-3</v>
      </c>
      <c r="E30" s="52">
        <f t="shared" si="4"/>
        <v>0.44921296296296309</v>
      </c>
      <c r="F30" s="47" t="s">
        <v>743</v>
      </c>
      <c r="G30" s="18" t="s">
        <v>269</v>
      </c>
      <c r="H30" s="18"/>
      <c r="I30" s="18" t="s">
        <v>254</v>
      </c>
      <c r="J30" s="18" t="s">
        <v>736</v>
      </c>
      <c r="K30" s="44" t="s">
        <v>744</v>
      </c>
      <c r="L30" s="105">
        <f t="shared" si="0"/>
        <v>0.44577546296296305</v>
      </c>
      <c r="M30" s="105">
        <f t="shared" si="3"/>
        <v>0.44921296296296309</v>
      </c>
      <c r="N30" s="38"/>
      <c r="O30" s="38" t="s">
        <v>256</v>
      </c>
      <c r="P30" s="38" t="s">
        <v>256</v>
      </c>
      <c r="Q30" s="38" t="s">
        <v>256</v>
      </c>
      <c r="R30" s="38"/>
      <c r="T30" s="4"/>
      <c r="U30" s="4"/>
    </row>
    <row r="31" spans="1:21" x14ac:dyDescent="0.2">
      <c r="A31" s="48" t="s">
        <v>279</v>
      </c>
      <c r="B31" s="52">
        <f t="shared" si="1"/>
        <v>1.1712962962963092E-2</v>
      </c>
      <c r="C31" s="52">
        <f>'[1]Day 5-H '!$D$23</f>
        <v>0.44921296296296309</v>
      </c>
      <c r="D31" s="50">
        <f t="shared" si="2"/>
        <v>3.0671296296296835E-3</v>
      </c>
      <c r="E31" s="52">
        <f t="shared" si="4"/>
        <v>0.45228009259259278</v>
      </c>
      <c r="F31" s="47" t="s">
        <v>745</v>
      </c>
      <c r="G31" s="18" t="s">
        <v>269</v>
      </c>
      <c r="H31" s="18"/>
      <c r="I31" s="18" t="s">
        <v>254</v>
      </c>
      <c r="J31" s="18" t="s">
        <v>736</v>
      </c>
      <c r="K31" s="44" t="s">
        <v>746</v>
      </c>
      <c r="L31" s="105">
        <f t="shared" si="0"/>
        <v>0.44921296296296309</v>
      </c>
      <c r="M31" s="105">
        <f t="shared" si="3"/>
        <v>0.45228009259259278</v>
      </c>
      <c r="N31" s="38"/>
      <c r="O31" s="38" t="s">
        <v>256</v>
      </c>
      <c r="P31" s="38" t="s">
        <v>256</v>
      </c>
      <c r="Q31" s="38" t="s">
        <v>256</v>
      </c>
      <c r="R31" s="38"/>
      <c r="T31" s="4"/>
      <c r="U31" s="4"/>
    </row>
    <row r="32" spans="1:21" x14ac:dyDescent="0.2">
      <c r="A32" s="48" t="s">
        <v>279</v>
      </c>
      <c r="B32" s="52">
        <f t="shared" si="1"/>
        <v>1.4780092592592775E-2</v>
      </c>
      <c r="C32" s="52">
        <f>'[1]Day 5-H '!$D$38</f>
        <v>0.45228009259259278</v>
      </c>
      <c r="D32" s="50">
        <f t="shared" si="2"/>
        <v>1.7939814814815214E-3</v>
      </c>
      <c r="E32" s="52">
        <f t="shared" si="4"/>
        <v>0.4540740740740743</v>
      </c>
      <c r="F32" s="47" t="s">
        <v>747</v>
      </c>
      <c r="G32" s="18" t="s">
        <v>269</v>
      </c>
      <c r="H32" s="18"/>
      <c r="I32" s="18" t="s">
        <v>254</v>
      </c>
      <c r="J32" s="18" t="s">
        <v>736</v>
      </c>
      <c r="K32" s="44" t="s">
        <v>748</v>
      </c>
      <c r="L32" s="105">
        <f t="shared" si="0"/>
        <v>0.45228009259259278</v>
      </c>
      <c r="M32" s="105">
        <f t="shared" si="3"/>
        <v>0.4540740740740743</v>
      </c>
      <c r="N32" s="38"/>
      <c r="O32" s="38" t="s">
        <v>256</v>
      </c>
      <c r="P32" s="38" t="s">
        <v>256</v>
      </c>
      <c r="Q32" s="38" t="s">
        <v>256</v>
      </c>
      <c r="R32" s="38"/>
      <c r="T32" s="4"/>
      <c r="U32" s="4"/>
    </row>
    <row r="33" spans="1:21" x14ac:dyDescent="0.2">
      <c r="A33" s="48" t="s">
        <v>279</v>
      </c>
      <c r="B33" s="52">
        <f t="shared" si="1"/>
        <v>1.6574074074074296E-2</v>
      </c>
      <c r="C33" s="52">
        <f>'[1]Day 5-H '!$D$41</f>
        <v>0.4540740740740743</v>
      </c>
      <c r="D33" s="50">
        <f t="shared" si="2"/>
        <v>1.2500000000000289E-3</v>
      </c>
      <c r="E33" s="52">
        <f t="shared" si="4"/>
        <v>0.45532407407407433</v>
      </c>
      <c r="F33" s="47" t="s">
        <v>749</v>
      </c>
      <c r="G33" s="18" t="s">
        <v>269</v>
      </c>
      <c r="H33" s="18"/>
      <c r="I33" s="18" t="s">
        <v>254</v>
      </c>
      <c r="J33" s="18" t="s">
        <v>736</v>
      </c>
      <c r="K33" s="44" t="s">
        <v>750</v>
      </c>
      <c r="L33" s="105">
        <f t="shared" si="0"/>
        <v>0.4540740740740743</v>
      </c>
      <c r="M33" s="105">
        <f t="shared" si="3"/>
        <v>0.45532407407407433</v>
      </c>
      <c r="N33" s="38"/>
      <c r="O33" s="38" t="s">
        <v>256</v>
      </c>
      <c r="P33" s="38" t="s">
        <v>256</v>
      </c>
      <c r="Q33" s="38" t="s">
        <v>256</v>
      </c>
      <c r="R33" s="38"/>
      <c r="T33" s="4"/>
      <c r="U33" s="4"/>
    </row>
    <row r="34" spans="1:21" x14ac:dyDescent="0.2">
      <c r="A34" s="48" t="s">
        <v>279</v>
      </c>
      <c r="B34" s="52">
        <f t="shared" si="1"/>
        <v>1.7824074074074325E-2</v>
      </c>
      <c r="C34" s="52">
        <f>'[1]Day 5-H '!$D$44</f>
        <v>0.45532407407407433</v>
      </c>
      <c r="D34" s="50">
        <f t="shared" si="2"/>
        <v>1.2268518518518956E-3</v>
      </c>
      <c r="E34" s="52">
        <f t="shared" si="4"/>
        <v>0.45655092592592622</v>
      </c>
      <c r="F34" s="47" t="s">
        <v>751</v>
      </c>
      <c r="G34" s="18" t="s">
        <v>269</v>
      </c>
      <c r="H34" s="18"/>
      <c r="I34" s="18" t="s">
        <v>254</v>
      </c>
      <c r="J34" s="18" t="s">
        <v>736</v>
      </c>
      <c r="K34" s="44" t="s">
        <v>752</v>
      </c>
      <c r="L34" s="105">
        <f t="shared" si="0"/>
        <v>0.45532407407407433</v>
      </c>
      <c r="M34" s="105">
        <f t="shared" si="3"/>
        <v>0.45655092592592622</v>
      </c>
      <c r="N34" s="38"/>
      <c r="O34" s="38" t="s">
        <v>256</v>
      </c>
      <c r="P34" s="38" t="s">
        <v>256</v>
      </c>
      <c r="Q34" s="38" t="s">
        <v>256</v>
      </c>
      <c r="R34" s="38"/>
      <c r="T34" s="4"/>
      <c r="U34" s="4"/>
    </row>
    <row r="35" spans="1:21" x14ac:dyDescent="0.2">
      <c r="A35" s="48" t="s">
        <v>279</v>
      </c>
      <c r="B35" s="52">
        <f t="shared" si="1"/>
        <v>1.9050925925926221E-2</v>
      </c>
      <c r="C35" s="52">
        <f>'[1]Day 5-H '!$D$47</f>
        <v>0.45655092592592622</v>
      </c>
      <c r="D35" s="50">
        <f t="shared" si="2"/>
        <v>1.2152777777778567E-3</v>
      </c>
      <c r="E35" s="52">
        <f t="shared" si="4"/>
        <v>0.45776620370370408</v>
      </c>
      <c r="F35" s="47" t="s">
        <v>753</v>
      </c>
      <c r="G35" s="18" t="s">
        <v>269</v>
      </c>
      <c r="H35" s="18"/>
      <c r="I35" s="18" t="s">
        <v>254</v>
      </c>
      <c r="J35" s="18" t="s">
        <v>736</v>
      </c>
      <c r="K35" s="44" t="s">
        <v>754</v>
      </c>
      <c r="L35" s="105">
        <f t="shared" si="0"/>
        <v>0.45655092592592622</v>
      </c>
      <c r="M35" s="105">
        <f t="shared" si="3"/>
        <v>0.45776620370370408</v>
      </c>
      <c r="N35" s="38"/>
      <c r="O35" s="38" t="s">
        <v>256</v>
      </c>
      <c r="P35" s="38" t="s">
        <v>256</v>
      </c>
      <c r="Q35" s="38" t="s">
        <v>256</v>
      </c>
      <c r="R35" s="38"/>
      <c r="T35" s="4"/>
      <c r="U35" s="4"/>
    </row>
    <row r="36" spans="1:21" x14ac:dyDescent="0.2">
      <c r="A36" s="48" t="s">
        <v>279</v>
      </c>
      <c r="B36" s="52">
        <f t="shared" si="1"/>
        <v>2.0266203703704078E-2</v>
      </c>
      <c r="C36" s="52">
        <f>'[1]Day 5-H '!$D$50</f>
        <v>0.45776620370370408</v>
      </c>
      <c r="D36" s="50">
        <f t="shared" si="2"/>
        <v>1.2152777777778567E-3</v>
      </c>
      <c r="E36" s="52">
        <f t="shared" si="4"/>
        <v>0.45898148148148193</v>
      </c>
      <c r="F36" s="47" t="s">
        <v>755</v>
      </c>
      <c r="G36" s="18" t="s">
        <v>269</v>
      </c>
      <c r="H36" s="18"/>
      <c r="I36" s="18" t="s">
        <v>254</v>
      </c>
      <c r="J36" s="18" t="s">
        <v>736</v>
      </c>
      <c r="K36" s="44" t="s">
        <v>756</v>
      </c>
      <c r="L36" s="105">
        <f t="shared" si="0"/>
        <v>0.45776620370370408</v>
      </c>
      <c r="M36" s="105">
        <f t="shared" si="3"/>
        <v>0.45898148148148193</v>
      </c>
      <c r="N36" s="38"/>
      <c r="O36" s="38" t="s">
        <v>256</v>
      </c>
      <c r="P36" s="38" t="s">
        <v>256</v>
      </c>
      <c r="Q36" s="38" t="s">
        <v>256</v>
      </c>
      <c r="R36" s="38"/>
      <c r="T36" s="4"/>
      <c r="U36" s="4"/>
    </row>
    <row r="37" spans="1:21" x14ac:dyDescent="0.2">
      <c r="A37" s="48" t="s">
        <v>279</v>
      </c>
      <c r="B37" s="52">
        <f t="shared" si="1"/>
        <v>2.1481481481481934E-2</v>
      </c>
      <c r="C37" s="52">
        <f>'[1]Day 5-H '!$D$53</f>
        <v>0.45898148148148193</v>
      </c>
      <c r="D37" s="50">
        <f t="shared" si="2"/>
        <v>1.2037037037037623E-3</v>
      </c>
      <c r="E37" s="52">
        <f t="shared" si="4"/>
        <v>0.4601851851851857</v>
      </c>
      <c r="F37" s="47" t="s">
        <v>757</v>
      </c>
      <c r="G37" s="18" t="s">
        <v>269</v>
      </c>
      <c r="H37" s="18"/>
      <c r="I37" s="18" t="s">
        <v>254</v>
      </c>
      <c r="J37" s="18" t="s">
        <v>736</v>
      </c>
      <c r="K37" s="44" t="s">
        <v>758</v>
      </c>
      <c r="L37" s="105">
        <f t="shared" si="0"/>
        <v>0.45898148148148193</v>
      </c>
      <c r="M37" s="105">
        <f t="shared" si="3"/>
        <v>0.4601851851851857</v>
      </c>
      <c r="N37" s="38"/>
      <c r="O37" s="38" t="s">
        <v>256</v>
      </c>
      <c r="P37" s="38" t="s">
        <v>256</v>
      </c>
      <c r="Q37" s="38" t="s">
        <v>256</v>
      </c>
      <c r="R37" s="38"/>
      <c r="T37" s="4"/>
      <c r="U37" s="4"/>
    </row>
    <row r="38" spans="1:21" x14ac:dyDescent="0.2">
      <c r="A38" s="48" t="s">
        <v>279</v>
      </c>
      <c r="B38" s="52">
        <f t="shared" si="1"/>
        <v>2.2685185185185697E-2</v>
      </c>
      <c r="C38" s="52">
        <f>'[1]Day 5-H '!$D$56</f>
        <v>0.4601851851851857</v>
      </c>
      <c r="D38" s="50">
        <f t="shared" si="2"/>
        <v>1.2037037037037623E-3</v>
      </c>
      <c r="E38" s="52">
        <f t="shared" si="4"/>
        <v>0.46138888888888946</v>
      </c>
      <c r="F38" s="47" t="s">
        <v>759</v>
      </c>
      <c r="G38" s="18" t="s">
        <v>269</v>
      </c>
      <c r="H38" s="18"/>
      <c r="I38" s="18" t="s">
        <v>254</v>
      </c>
      <c r="J38" s="18" t="s">
        <v>736</v>
      </c>
      <c r="K38" s="44" t="s">
        <v>760</v>
      </c>
      <c r="L38" s="105">
        <f t="shared" si="0"/>
        <v>0.4601851851851857</v>
      </c>
      <c r="M38" s="105">
        <f t="shared" si="3"/>
        <v>0.46138888888888946</v>
      </c>
      <c r="N38" s="38"/>
      <c r="O38" s="38" t="s">
        <v>256</v>
      </c>
      <c r="P38" s="38" t="s">
        <v>256</v>
      </c>
      <c r="Q38" s="38" t="s">
        <v>256</v>
      </c>
      <c r="R38" s="38"/>
      <c r="T38" s="4"/>
      <c r="U38" s="4"/>
    </row>
    <row r="39" spans="1:21" x14ac:dyDescent="0.2">
      <c r="A39" s="48" t="s">
        <v>279</v>
      </c>
      <c r="B39" s="52">
        <f t="shared" si="1"/>
        <v>2.3888888888889459E-2</v>
      </c>
      <c r="C39" s="52">
        <f>'[1]Day 5-H '!$D$59</f>
        <v>0.46138888888888946</v>
      </c>
      <c r="D39" s="50">
        <f t="shared" si="2"/>
        <v>1.2037037037037623E-3</v>
      </c>
      <c r="E39" s="52">
        <f t="shared" si="4"/>
        <v>0.46259259259259322</v>
      </c>
      <c r="F39" s="47" t="s">
        <v>761</v>
      </c>
      <c r="G39" s="18" t="s">
        <v>269</v>
      </c>
      <c r="H39" s="18"/>
      <c r="I39" s="18" t="s">
        <v>254</v>
      </c>
      <c r="J39" s="18" t="s">
        <v>736</v>
      </c>
      <c r="K39" s="44" t="s">
        <v>762</v>
      </c>
      <c r="L39" s="105">
        <f t="shared" si="0"/>
        <v>0.46138888888888946</v>
      </c>
      <c r="M39" s="105">
        <f t="shared" si="3"/>
        <v>0.46259259259259322</v>
      </c>
      <c r="N39" s="38"/>
      <c r="O39" s="38" t="s">
        <v>256</v>
      </c>
      <c r="P39" s="38" t="s">
        <v>256</v>
      </c>
      <c r="Q39" s="38" t="s">
        <v>256</v>
      </c>
      <c r="R39" s="38"/>
      <c r="T39" s="4"/>
      <c r="U39" s="4"/>
    </row>
    <row r="40" spans="1:21" x14ac:dyDescent="0.2">
      <c r="A40" s="48" t="s">
        <v>279</v>
      </c>
      <c r="B40" s="52">
        <f t="shared" ref="B40" si="5">C40-$C$26</f>
        <v>2.5092592592593221E-2</v>
      </c>
      <c r="C40" s="52">
        <f>'[1]Day 5-H '!$D$65</f>
        <v>0.46259259259259322</v>
      </c>
      <c r="D40" s="50">
        <f t="shared" si="2"/>
        <v>1.6666666666667052E-3</v>
      </c>
      <c r="E40" s="52">
        <f t="shared" si="4"/>
        <v>0.46425925925925993</v>
      </c>
      <c r="F40" s="47" t="s">
        <v>763</v>
      </c>
      <c r="G40" s="18" t="s">
        <v>269</v>
      </c>
      <c r="H40" s="18"/>
      <c r="I40" s="18" t="s">
        <v>254</v>
      </c>
      <c r="J40" s="18" t="s">
        <v>736</v>
      </c>
      <c r="K40" s="44" t="s">
        <v>764</v>
      </c>
      <c r="L40" s="105">
        <f t="shared" ref="L40" si="6">C40</f>
        <v>0.46259259259259322</v>
      </c>
      <c r="M40" s="105">
        <f t="shared" ref="M40" si="7">E40</f>
        <v>0.46425925925925993</v>
      </c>
      <c r="N40" s="38"/>
      <c r="O40" s="38" t="s">
        <v>256</v>
      </c>
      <c r="P40" s="38" t="s">
        <v>256</v>
      </c>
      <c r="Q40" s="38" t="s">
        <v>256</v>
      </c>
      <c r="R40" s="38"/>
      <c r="T40" s="4"/>
      <c r="U40" s="4"/>
    </row>
    <row r="41" spans="1:21" x14ac:dyDescent="0.2">
      <c r="A41" s="48" t="s">
        <v>279</v>
      </c>
      <c r="B41" s="52">
        <f t="shared" si="1"/>
        <v>2.6759259259259927E-2</v>
      </c>
      <c r="C41" s="52">
        <f>'[1]Day 5-H '!$D$69</f>
        <v>0.46425925925925993</v>
      </c>
      <c r="D41" s="50">
        <f t="shared" si="2"/>
        <v>1.9675925925926041E-3</v>
      </c>
      <c r="E41" s="52">
        <f t="shared" si="4"/>
        <v>0.46622685185185253</v>
      </c>
      <c r="F41" s="47" t="s">
        <v>765</v>
      </c>
      <c r="G41" s="18" t="s">
        <v>269</v>
      </c>
      <c r="H41" s="18"/>
      <c r="I41" s="18" t="s">
        <v>254</v>
      </c>
      <c r="J41" s="18" t="s">
        <v>736</v>
      </c>
      <c r="K41" s="44" t="s">
        <v>766</v>
      </c>
      <c r="L41" s="105">
        <f t="shared" si="0"/>
        <v>0.46425925925925993</v>
      </c>
      <c r="M41" s="105">
        <f t="shared" si="3"/>
        <v>0.46622685185185253</v>
      </c>
      <c r="N41" s="38"/>
      <c r="O41" s="38" t="s">
        <v>256</v>
      </c>
      <c r="P41" s="38" t="s">
        <v>256</v>
      </c>
      <c r="Q41" s="38" t="s">
        <v>256</v>
      </c>
      <c r="R41" s="38"/>
      <c r="T41" s="4"/>
      <c r="U41" s="4"/>
    </row>
    <row r="42" spans="1:21" x14ac:dyDescent="0.2">
      <c r="A42" s="48" t="s">
        <v>279</v>
      </c>
      <c r="B42" s="52">
        <f t="shared" si="1"/>
        <v>2.8726851851852531E-2</v>
      </c>
      <c r="C42" s="52">
        <f>'[1]Day 5-H '!$D$72</f>
        <v>0.46622685185185253</v>
      </c>
      <c r="D42" s="50">
        <f t="shared" si="2"/>
        <v>1.3310185185185786E-3</v>
      </c>
      <c r="E42" s="52">
        <f t="shared" si="4"/>
        <v>0.46755787037037111</v>
      </c>
      <c r="F42" s="47" t="s">
        <v>767</v>
      </c>
      <c r="G42" s="18" t="s">
        <v>269</v>
      </c>
      <c r="H42" s="18"/>
      <c r="I42" s="18" t="s">
        <v>254</v>
      </c>
      <c r="J42" s="18" t="s">
        <v>736</v>
      </c>
      <c r="K42" s="44" t="s">
        <v>768</v>
      </c>
      <c r="L42" s="105">
        <f t="shared" si="0"/>
        <v>0.46622685185185253</v>
      </c>
      <c r="M42" s="105">
        <f t="shared" si="3"/>
        <v>0.46755787037037111</v>
      </c>
      <c r="N42" s="38"/>
      <c r="O42" s="38" t="s">
        <v>256</v>
      </c>
      <c r="P42" s="38" t="s">
        <v>256</v>
      </c>
      <c r="Q42" s="38" t="s">
        <v>256</v>
      </c>
      <c r="R42" s="38"/>
      <c r="T42" s="4"/>
      <c r="U42" s="4"/>
    </row>
    <row r="43" spans="1:21" x14ac:dyDescent="0.2">
      <c r="A43" s="48" t="s">
        <v>279</v>
      </c>
      <c r="B43" s="52">
        <f t="shared" si="1"/>
        <v>3.0057870370371109E-2</v>
      </c>
      <c r="C43" s="52">
        <f>'[1]Day 5-H '!$D$75</f>
        <v>0.46755787037037111</v>
      </c>
      <c r="D43" s="50">
        <f t="shared" si="2"/>
        <v>1.3078703703704453E-3</v>
      </c>
      <c r="E43" s="52">
        <f t="shared" si="4"/>
        <v>0.46886574074074155</v>
      </c>
      <c r="F43" s="47" t="s">
        <v>769</v>
      </c>
      <c r="G43" s="18" t="s">
        <v>269</v>
      </c>
      <c r="H43" s="18"/>
      <c r="I43" s="18" t="s">
        <v>254</v>
      </c>
      <c r="J43" s="18" t="s">
        <v>736</v>
      </c>
      <c r="K43" s="44" t="s">
        <v>770</v>
      </c>
      <c r="L43" s="105">
        <f t="shared" si="0"/>
        <v>0.46755787037037111</v>
      </c>
      <c r="M43" s="105">
        <f t="shared" si="3"/>
        <v>0.46886574074074155</v>
      </c>
      <c r="N43" s="38"/>
      <c r="O43" s="38" t="s">
        <v>256</v>
      </c>
      <c r="P43" s="38" t="s">
        <v>256</v>
      </c>
      <c r="Q43" s="38" t="s">
        <v>256</v>
      </c>
      <c r="R43" s="38"/>
      <c r="T43" s="4"/>
      <c r="U43" s="4"/>
    </row>
    <row r="44" spans="1:21" x14ac:dyDescent="0.2">
      <c r="A44" s="48" t="s">
        <v>279</v>
      </c>
      <c r="B44" s="52">
        <f t="shared" si="1"/>
        <v>3.1365740740741554E-2</v>
      </c>
      <c r="C44" s="52">
        <f>'[1]Day 5-H '!$D$78</f>
        <v>0.46886574074074155</v>
      </c>
      <c r="D44" s="50">
        <f t="shared" si="2"/>
        <v>1.2847222222222565E-3</v>
      </c>
      <c r="E44" s="52">
        <f t="shared" si="4"/>
        <v>0.47015046296296381</v>
      </c>
      <c r="F44" s="47" t="s">
        <v>771</v>
      </c>
      <c r="G44" s="18" t="s">
        <v>269</v>
      </c>
      <c r="H44" s="18"/>
      <c r="I44" s="18" t="s">
        <v>254</v>
      </c>
      <c r="J44" s="18" t="s">
        <v>736</v>
      </c>
      <c r="K44" s="44" t="s">
        <v>772</v>
      </c>
      <c r="L44" s="105">
        <f t="shared" si="0"/>
        <v>0.46886574074074155</v>
      </c>
      <c r="M44" s="105">
        <f t="shared" si="3"/>
        <v>0.47015046296296381</v>
      </c>
      <c r="N44" s="38"/>
      <c r="O44" s="38" t="s">
        <v>256</v>
      </c>
      <c r="P44" s="38" t="s">
        <v>256</v>
      </c>
      <c r="Q44" s="38" t="s">
        <v>256</v>
      </c>
      <c r="R44" s="38"/>
      <c r="T44" s="4"/>
      <c r="U44" s="4"/>
    </row>
    <row r="45" spans="1:21" x14ac:dyDescent="0.2">
      <c r="A45" s="48" t="s">
        <v>279</v>
      </c>
      <c r="B45" s="52">
        <f t="shared" si="1"/>
        <v>3.2650462962963811E-2</v>
      </c>
      <c r="C45" s="52">
        <f>'[1]Day 5-H '!$D$84</f>
        <v>0.47015046296296381</v>
      </c>
      <c r="D45" s="50">
        <f>E45-C45</f>
        <v>1.7476851851851993E-3</v>
      </c>
      <c r="E45" s="52">
        <f t="shared" si="4"/>
        <v>0.47189814814814901</v>
      </c>
      <c r="F45" s="47" t="s">
        <v>773</v>
      </c>
      <c r="G45" s="18" t="s">
        <v>269</v>
      </c>
      <c r="H45" s="18"/>
      <c r="I45" s="18" t="s">
        <v>254</v>
      </c>
      <c r="J45" s="18" t="s">
        <v>736</v>
      </c>
      <c r="K45" s="44" t="s">
        <v>774</v>
      </c>
      <c r="L45" s="105">
        <f t="shared" si="0"/>
        <v>0.47015046296296381</v>
      </c>
      <c r="M45" s="105">
        <f t="shared" si="3"/>
        <v>0.47189814814814901</v>
      </c>
      <c r="N45" s="38"/>
      <c r="O45" s="38" t="s">
        <v>256</v>
      </c>
      <c r="P45" s="38" t="s">
        <v>256</v>
      </c>
      <c r="Q45" s="38" t="s">
        <v>256</v>
      </c>
      <c r="R45" s="38"/>
      <c r="T45" s="4"/>
      <c r="U45" s="4"/>
    </row>
    <row r="46" spans="1:21" s="5" customFormat="1" x14ac:dyDescent="0.2">
      <c r="A46" s="48" t="s">
        <v>279</v>
      </c>
      <c r="B46" s="52">
        <f t="shared" si="1"/>
        <v>3.439814814814901E-2</v>
      </c>
      <c r="C46" s="52">
        <f>'[1]Day 5-H '!$D$88</f>
        <v>0.47189814814814901</v>
      </c>
      <c r="D46" s="50">
        <f t="shared" ref="D46:D51" si="8">E46-C46</f>
        <v>5.0347222222222321E-3</v>
      </c>
      <c r="E46" s="52">
        <f t="shared" si="4"/>
        <v>0.47693287037037124</v>
      </c>
      <c r="F46" s="47" t="s">
        <v>775</v>
      </c>
      <c r="G46" s="18" t="s">
        <v>269</v>
      </c>
      <c r="H46" s="18"/>
      <c r="I46" s="18" t="s">
        <v>254</v>
      </c>
      <c r="J46" s="18" t="s">
        <v>736</v>
      </c>
      <c r="K46" s="44" t="s">
        <v>776</v>
      </c>
      <c r="L46" s="105">
        <f t="shared" si="0"/>
        <v>0.47189814814814901</v>
      </c>
      <c r="M46" s="105">
        <f t="shared" si="3"/>
        <v>0.47693287037037124</v>
      </c>
      <c r="N46" s="38"/>
      <c r="O46" s="38" t="s">
        <v>256</v>
      </c>
      <c r="P46" s="38" t="s">
        <v>256</v>
      </c>
      <c r="Q46" s="38" t="s">
        <v>256</v>
      </c>
      <c r="R46" s="38"/>
      <c r="S46"/>
      <c r="T46" s="4"/>
      <c r="U46" s="4"/>
    </row>
    <row r="47" spans="1:21" s="5" customFormat="1" x14ac:dyDescent="0.2">
      <c r="A47" s="48" t="s">
        <v>279</v>
      </c>
      <c r="B47" s="52">
        <f t="shared" si="1"/>
        <v>3.9432870370371242E-2</v>
      </c>
      <c r="C47" s="52">
        <f>'[1]Day 5-H '!$D$91</f>
        <v>0.47693287037037124</v>
      </c>
      <c r="D47" s="50">
        <f t="shared" si="8"/>
        <v>4.4907407407407951E-3</v>
      </c>
      <c r="E47" s="52">
        <f t="shared" si="4"/>
        <v>0.48142361111111204</v>
      </c>
      <c r="F47" s="47" t="s">
        <v>777</v>
      </c>
      <c r="G47" s="18" t="s">
        <v>269</v>
      </c>
      <c r="H47" s="18"/>
      <c r="I47" s="18" t="s">
        <v>254</v>
      </c>
      <c r="J47" s="18" t="s">
        <v>736</v>
      </c>
      <c r="K47" s="44" t="s">
        <v>778</v>
      </c>
      <c r="L47" s="105">
        <f t="shared" si="0"/>
        <v>0.47693287037037124</v>
      </c>
      <c r="M47" s="105">
        <f t="shared" si="3"/>
        <v>0.48142361111111204</v>
      </c>
      <c r="N47" s="38"/>
      <c r="O47" s="38" t="s">
        <v>256</v>
      </c>
      <c r="P47" s="38" t="s">
        <v>256</v>
      </c>
      <c r="Q47" s="38" t="s">
        <v>256</v>
      </c>
      <c r="R47" s="38"/>
      <c r="S47"/>
      <c r="T47" s="4"/>
      <c r="U47" s="4"/>
    </row>
    <row r="48" spans="1:21" s="5" customFormat="1" x14ac:dyDescent="0.2">
      <c r="A48" s="48" t="s">
        <v>279</v>
      </c>
      <c r="B48" s="52">
        <f t="shared" ref="B48" si="9">C48-$C$26</f>
        <v>4.3923611111112038E-2</v>
      </c>
      <c r="C48" s="52">
        <f>'[1]Day 5-H '!$D$94</f>
        <v>0.48142361111111204</v>
      </c>
      <c r="D48" s="50">
        <f t="shared" si="8"/>
        <v>4.5138888888889284E-3</v>
      </c>
      <c r="E48" s="52">
        <f t="shared" si="4"/>
        <v>0.48593750000000097</v>
      </c>
      <c r="F48" s="47" t="s">
        <v>779</v>
      </c>
      <c r="G48" s="18" t="s">
        <v>269</v>
      </c>
      <c r="H48" s="18"/>
      <c r="I48" s="18" t="s">
        <v>254</v>
      </c>
      <c r="J48" s="18" t="s">
        <v>736</v>
      </c>
      <c r="K48" s="44" t="s">
        <v>780</v>
      </c>
      <c r="L48" s="105">
        <f t="shared" ref="L48" si="10">C48</f>
        <v>0.48142361111111204</v>
      </c>
      <c r="M48" s="105">
        <f t="shared" ref="M48" si="11">E48</f>
        <v>0.48593750000000097</v>
      </c>
      <c r="N48" s="38"/>
      <c r="O48" s="38" t="s">
        <v>256</v>
      </c>
      <c r="P48" s="38" t="s">
        <v>256</v>
      </c>
      <c r="Q48" s="38" t="s">
        <v>256</v>
      </c>
      <c r="R48" s="38"/>
      <c r="S48"/>
      <c r="T48" s="4"/>
      <c r="U48" s="4"/>
    </row>
    <row r="49" spans="1:21" s="5" customFormat="1" x14ac:dyDescent="0.2">
      <c r="A49" s="48" t="s">
        <v>279</v>
      </c>
      <c r="B49" s="52">
        <f t="shared" si="1"/>
        <v>4.8437500000000966E-2</v>
      </c>
      <c r="C49" s="52">
        <f>'[1]Day 5-H '!$D$98</f>
        <v>0.48593750000000097</v>
      </c>
      <c r="D49" s="50">
        <f t="shared" si="8"/>
        <v>1.2986111111111143E-2</v>
      </c>
      <c r="E49" s="52">
        <f t="shared" si="4"/>
        <v>0.49892361111111211</v>
      </c>
      <c r="F49" s="47" t="s">
        <v>781</v>
      </c>
      <c r="G49" s="18" t="s">
        <v>269</v>
      </c>
      <c r="H49" s="18"/>
      <c r="I49" s="18" t="s">
        <v>254</v>
      </c>
      <c r="J49" s="18" t="s">
        <v>736</v>
      </c>
      <c r="K49" s="44" t="s">
        <v>782</v>
      </c>
      <c r="L49" s="105">
        <f t="shared" si="0"/>
        <v>0.48593750000000097</v>
      </c>
      <c r="M49" s="105">
        <f t="shared" si="3"/>
        <v>0.49892361111111211</v>
      </c>
      <c r="N49" s="38"/>
      <c r="O49" s="38" t="s">
        <v>256</v>
      </c>
      <c r="P49" s="38" t="s">
        <v>256</v>
      </c>
      <c r="Q49" s="38" t="s">
        <v>256</v>
      </c>
      <c r="R49" s="38"/>
      <c r="S49"/>
      <c r="T49" s="4"/>
      <c r="U49" s="4"/>
    </row>
    <row r="50" spans="1:21" s="5" customFormat="1" x14ac:dyDescent="0.2">
      <c r="A50" s="48" t="s">
        <v>279</v>
      </c>
      <c r="B50" s="52">
        <f t="shared" si="1"/>
        <v>6.1423611111112109E-2</v>
      </c>
      <c r="C50" s="52">
        <f>'[1]Day 5-H '!$D$101</f>
        <v>0.49892361111111211</v>
      </c>
      <c r="D50" s="50">
        <f t="shared" si="8"/>
        <v>1.2858796296296326E-2</v>
      </c>
      <c r="E50" s="52">
        <f t="shared" si="4"/>
        <v>0.51178240740740844</v>
      </c>
      <c r="F50" s="47" t="s">
        <v>783</v>
      </c>
      <c r="G50" s="18" t="s">
        <v>269</v>
      </c>
      <c r="H50" s="18"/>
      <c r="I50" s="18" t="s">
        <v>254</v>
      </c>
      <c r="J50" s="18" t="s">
        <v>736</v>
      </c>
      <c r="K50" s="44" t="s">
        <v>784</v>
      </c>
      <c r="L50" s="105">
        <f t="shared" si="0"/>
        <v>0.49892361111111211</v>
      </c>
      <c r="M50" s="105">
        <f t="shared" si="3"/>
        <v>0.51178240740740844</v>
      </c>
      <c r="N50" s="38"/>
      <c r="O50" s="38" t="s">
        <v>256</v>
      </c>
      <c r="P50" s="38" t="s">
        <v>256</v>
      </c>
      <c r="Q50" s="38" t="s">
        <v>256</v>
      </c>
      <c r="R50" s="38"/>
      <c r="S50"/>
      <c r="T50" s="4"/>
      <c r="U50" s="4"/>
    </row>
    <row r="51" spans="1:21" s="5" customFormat="1" x14ac:dyDescent="0.2">
      <c r="A51" s="48" t="s">
        <v>279</v>
      </c>
      <c r="B51" s="52">
        <f t="shared" si="1"/>
        <v>7.4282407407408435E-2</v>
      </c>
      <c r="C51" s="52">
        <f>'[1]Day 5-H '!$D$105</f>
        <v>0.51178240740740844</v>
      </c>
      <c r="D51" s="50">
        <f t="shared" si="8"/>
        <v>1.0416666666667185E-3</v>
      </c>
      <c r="E51" s="52">
        <f t="shared" si="4"/>
        <v>0.51282407407407515</v>
      </c>
      <c r="F51" s="18" t="s">
        <v>357</v>
      </c>
      <c r="G51" s="18" t="s">
        <v>269</v>
      </c>
      <c r="H51" s="18"/>
      <c r="I51" s="18" t="s">
        <v>254</v>
      </c>
      <c r="J51" s="18" t="s">
        <v>736</v>
      </c>
      <c r="K51" s="37"/>
      <c r="L51" s="105">
        <f t="shared" si="0"/>
        <v>0.51178240740740844</v>
      </c>
      <c r="M51" s="105">
        <f t="shared" si="3"/>
        <v>0.51282407407407515</v>
      </c>
      <c r="N51" s="38"/>
      <c r="O51" s="38" t="s">
        <v>256</v>
      </c>
      <c r="P51" s="38" t="s">
        <v>256</v>
      </c>
      <c r="Q51" s="38" t="s">
        <v>256</v>
      </c>
      <c r="R51" s="38"/>
      <c r="S51"/>
      <c r="T51" s="4"/>
      <c r="U51" s="4"/>
    </row>
    <row r="52" spans="1:21" x14ac:dyDescent="0.2">
      <c r="A52" s="93" t="s">
        <v>279</v>
      </c>
      <c r="B52" s="94"/>
      <c r="C52" s="94">
        <f>'[1]Day 5-H '!$D$106</f>
        <v>0.51282407407407515</v>
      </c>
      <c r="D52" s="93"/>
      <c r="E52" s="94"/>
      <c r="F52" s="20" t="s">
        <v>358</v>
      </c>
      <c r="G52" s="18"/>
      <c r="H52" s="18"/>
      <c r="I52" s="18" t="s">
        <v>254</v>
      </c>
      <c r="J52" s="18" t="s">
        <v>736</v>
      </c>
      <c r="K52" s="37"/>
      <c r="L52" s="105">
        <f t="shared" si="0"/>
        <v>0.51282407407407515</v>
      </c>
      <c r="M52" s="105"/>
      <c r="N52" s="38"/>
      <c r="O52" s="38" t="s">
        <v>256</v>
      </c>
      <c r="P52" s="38" t="s">
        <v>256</v>
      </c>
      <c r="Q52" s="38" t="s">
        <v>256</v>
      </c>
      <c r="R52" s="38" t="s">
        <v>256</v>
      </c>
      <c r="T52" s="4"/>
      <c r="U52" s="4"/>
    </row>
    <row r="53" spans="1:21" s="5" customFormat="1" x14ac:dyDescent="0.2">
      <c r="A53" s="46" t="s">
        <v>279</v>
      </c>
      <c r="B53" s="55"/>
      <c r="C53" s="64">
        <v>0.52083333333333337</v>
      </c>
      <c r="D53" s="46"/>
      <c r="E53" s="55"/>
      <c r="F53" s="33" t="s">
        <v>62</v>
      </c>
      <c r="G53" s="45"/>
      <c r="H53" s="45"/>
      <c r="I53" s="45" t="s">
        <v>254</v>
      </c>
      <c r="J53" s="45" t="s">
        <v>736</v>
      </c>
      <c r="K53" s="45"/>
      <c r="L53" s="106">
        <f t="shared" si="0"/>
        <v>0.52083333333333337</v>
      </c>
      <c r="M53" s="109"/>
      <c r="N53" s="46"/>
      <c r="O53" s="46" t="s">
        <v>256</v>
      </c>
      <c r="P53" s="46" t="s">
        <v>256</v>
      </c>
      <c r="Q53" s="46" t="s">
        <v>256</v>
      </c>
      <c r="R53" s="46" t="s">
        <v>256</v>
      </c>
      <c r="S53"/>
      <c r="T53" s="4"/>
      <c r="U53" s="4"/>
    </row>
    <row r="54" spans="1:21" s="5" customFormat="1" x14ac:dyDescent="0.2">
      <c r="A54" s="48" t="s">
        <v>279</v>
      </c>
      <c r="B54" s="52">
        <f t="shared" ref="B54:B59" si="12">C54-$C$26</f>
        <v>8.333333333333337E-2</v>
      </c>
      <c r="C54" s="52">
        <f>C53</f>
        <v>0.52083333333333337</v>
      </c>
      <c r="D54" s="50">
        <f t="shared" si="2"/>
        <v>4.166666666666663E-2</v>
      </c>
      <c r="E54" s="52">
        <f>$C$54+TIME(1,0,0)</f>
        <v>0.5625</v>
      </c>
      <c r="F54" s="47" t="s">
        <v>359</v>
      </c>
      <c r="G54" s="18" t="s">
        <v>264</v>
      </c>
      <c r="H54" s="18"/>
      <c r="I54" s="18" t="s">
        <v>254</v>
      </c>
      <c r="J54" s="37"/>
      <c r="K54" s="37"/>
      <c r="L54" s="37"/>
      <c r="M54" s="37"/>
      <c r="N54" s="38"/>
      <c r="O54" s="38"/>
      <c r="P54" s="38"/>
      <c r="Q54" s="38"/>
      <c r="R54" s="38" t="s">
        <v>256</v>
      </c>
      <c r="S54"/>
      <c r="T54" s="4"/>
      <c r="U54" s="4"/>
    </row>
    <row r="55" spans="1:21" s="5" customFormat="1" x14ac:dyDescent="0.2">
      <c r="A55" s="48" t="s">
        <v>279</v>
      </c>
      <c r="B55" s="52">
        <f t="shared" si="12"/>
        <v>0.125</v>
      </c>
      <c r="C55" s="52">
        <v>0.5625</v>
      </c>
      <c r="D55" s="50">
        <f t="shared" si="2"/>
        <v>0.1875</v>
      </c>
      <c r="E55" s="52">
        <v>0.75</v>
      </c>
      <c r="F55" s="63" t="s">
        <v>360</v>
      </c>
      <c r="G55" s="18" t="s">
        <v>266</v>
      </c>
      <c r="H55" s="18"/>
      <c r="I55" s="18" t="s">
        <v>254</v>
      </c>
      <c r="J55" s="37"/>
      <c r="K55" s="37"/>
      <c r="L55" s="37"/>
      <c r="M55" s="37"/>
      <c r="N55" s="38"/>
      <c r="O55" s="38"/>
      <c r="P55" s="38"/>
      <c r="Q55" s="38"/>
      <c r="R55" s="38" t="s">
        <v>256</v>
      </c>
      <c r="S55"/>
      <c r="T55" s="4"/>
      <c r="U55" s="4"/>
    </row>
    <row r="56" spans="1:21" s="5" customFormat="1" x14ac:dyDescent="0.2">
      <c r="A56" s="48" t="s">
        <v>279</v>
      </c>
      <c r="B56" s="52">
        <f t="shared" si="12"/>
        <v>9.5833333333333326E-2</v>
      </c>
      <c r="C56" s="52">
        <v>0.53333333333333333</v>
      </c>
      <c r="D56" s="48"/>
      <c r="E56" s="52"/>
      <c r="F56" s="47" t="s">
        <v>65</v>
      </c>
      <c r="G56" s="18"/>
      <c r="H56" s="18"/>
      <c r="I56" s="18" t="s">
        <v>254</v>
      </c>
      <c r="J56" s="37"/>
      <c r="K56" s="37"/>
      <c r="L56" s="37"/>
      <c r="M56" s="37"/>
      <c r="N56" s="38"/>
      <c r="O56" s="38"/>
      <c r="P56" s="38"/>
      <c r="Q56" s="38"/>
      <c r="R56" s="38"/>
      <c r="S56"/>
      <c r="T56" s="4"/>
      <c r="U56" s="4"/>
    </row>
    <row r="57" spans="1:21" s="5" customFormat="1" x14ac:dyDescent="0.2">
      <c r="A57" s="48" t="s">
        <v>279</v>
      </c>
      <c r="B57" s="52">
        <f t="shared" si="12"/>
        <v>0.10416666666666674</v>
      </c>
      <c r="C57" s="52">
        <f>$C$53+TIME(0,30,0)</f>
        <v>0.54166666666666674</v>
      </c>
      <c r="D57" s="48"/>
      <c r="E57" s="52"/>
      <c r="F57" s="47" t="s">
        <v>361</v>
      </c>
      <c r="G57" s="18" t="s">
        <v>271</v>
      </c>
      <c r="H57" s="18"/>
      <c r="I57" s="18" t="s">
        <v>254</v>
      </c>
      <c r="J57" s="37"/>
      <c r="K57" s="37"/>
      <c r="L57" s="37"/>
      <c r="M57" s="37"/>
      <c r="N57" s="38"/>
      <c r="O57" s="38"/>
      <c r="P57" s="38"/>
      <c r="Q57" s="38"/>
      <c r="R57" s="38" t="s">
        <v>256</v>
      </c>
      <c r="S57"/>
      <c r="T57" s="4"/>
      <c r="U57" s="4"/>
    </row>
    <row r="58" spans="1:21" s="5" customFormat="1" x14ac:dyDescent="0.2">
      <c r="A58" s="48" t="s">
        <v>279</v>
      </c>
      <c r="B58" s="52">
        <f t="shared" si="12"/>
        <v>0.11458333333333337</v>
      </c>
      <c r="C58" s="52">
        <f>$C$53+TIME(0,45,0)</f>
        <v>0.55208333333333337</v>
      </c>
      <c r="D58" s="48"/>
      <c r="E58" s="52"/>
      <c r="F58" s="18" t="s">
        <v>362</v>
      </c>
      <c r="G58" s="18" t="s">
        <v>271</v>
      </c>
      <c r="H58" s="18"/>
      <c r="I58" s="18" t="s">
        <v>254</v>
      </c>
      <c r="J58" s="37"/>
      <c r="K58" s="37"/>
      <c r="L58" s="37"/>
      <c r="M58" s="37"/>
      <c r="N58" s="38"/>
      <c r="O58" s="38"/>
      <c r="P58" s="38"/>
      <c r="Q58" s="38"/>
      <c r="R58" s="38" t="s">
        <v>256</v>
      </c>
      <c r="S58"/>
      <c r="T58" s="4"/>
      <c r="U58" s="4"/>
    </row>
    <row r="59" spans="1:21" s="5" customFormat="1" x14ac:dyDescent="0.2">
      <c r="A59" s="48" t="s">
        <v>279</v>
      </c>
      <c r="B59" s="52">
        <f t="shared" si="12"/>
        <v>0.125</v>
      </c>
      <c r="C59" s="52">
        <f>$C$54+TIME(1,0,0)</f>
        <v>0.5625</v>
      </c>
      <c r="D59" s="48"/>
      <c r="E59" s="52"/>
      <c r="F59" s="47" t="s">
        <v>363</v>
      </c>
      <c r="G59" s="18"/>
      <c r="H59" s="18"/>
      <c r="I59" s="18"/>
      <c r="J59" s="37"/>
      <c r="K59" s="37"/>
      <c r="L59" s="37"/>
      <c r="M59" s="37"/>
      <c r="N59" s="38"/>
      <c r="O59" s="38"/>
      <c r="P59" s="38"/>
      <c r="Q59" s="38"/>
      <c r="R59" s="38" t="s">
        <v>256</v>
      </c>
      <c r="S59"/>
      <c r="T59" s="4"/>
      <c r="U59" s="4"/>
    </row>
    <row r="60" spans="1:21" s="5" customFormat="1" x14ac:dyDescent="0.2">
      <c r="A60" s="58"/>
      <c r="B60" s="59"/>
      <c r="C60" s="59"/>
      <c r="D60" s="58"/>
      <c r="E60" s="59"/>
      <c r="F60" s="60"/>
      <c r="G60" s="60"/>
      <c r="H60" s="60"/>
      <c r="I60" s="60"/>
      <c r="J60" s="60"/>
      <c r="K60" s="60"/>
      <c r="L60" s="60"/>
      <c r="M60" s="60"/>
      <c r="N60" s="58"/>
      <c r="O60" s="58"/>
      <c r="P60" s="58"/>
      <c r="Q60" s="58"/>
      <c r="R60" s="58"/>
      <c r="S60"/>
      <c r="T60" s="4"/>
      <c r="U60" s="4"/>
    </row>
    <row r="61" spans="1:21" s="5" customFormat="1" ht="14.25" customHeight="1" x14ac:dyDescent="0.2">
      <c r="A61" s="48" t="s">
        <v>252</v>
      </c>
      <c r="B61" s="52">
        <f>$C$74-C61</f>
        <v>0.15069444444444458</v>
      </c>
      <c r="C61" s="52">
        <f>$C$71-TIME(3,30,0)</f>
        <v>0.64583333333333326</v>
      </c>
      <c r="D61" s="48"/>
      <c r="E61" s="52"/>
      <c r="F61" s="39" t="s">
        <v>257</v>
      </c>
      <c r="G61" s="18"/>
      <c r="H61" s="18"/>
      <c r="I61" s="18" t="s">
        <v>254</v>
      </c>
      <c r="J61" s="37"/>
      <c r="K61" s="37"/>
      <c r="L61" s="37"/>
      <c r="M61" s="37"/>
      <c r="N61" s="38"/>
      <c r="O61" s="38"/>
      <c r="P61" s="38"/>
      <c r="Q61" s="38"/>
      <c r="R61" s="38"/>
      <c r="S61"/>
      <c r="T61" s="4"/>
      <c r="U61" s="4"/>
    </row>
    <row r="62" spans="1:21" s="5" customFormat="1" x14ac:dyDescent="0.2">
      <c r="A62" s="48" t="s">
        <v>252</v>
      </c>
      <c r="B62" s="52">
        <f>$C$74-C62</f>
        <v>0.10902777777777783</v>
      </c>
      <c r="C62" s="52">
        <f>$C$71-TIME(2,30,0)</f>
        <v>0.6875</v>
      </c>
      <c r="D62" s="50">
        <f t="shared" ref="D62" si="13">E62-C62</f>
        <v>9.375E-2</v>
      </c>
      <c r="E62" s="52">
        <f>$C$71-TIME(0,15,0)</f>
        <v>0.78125</v>
      </c>
      <c r="F62" s="18" t="s">
        <v>365</v>
      </c>
      <c r="G62" s="18" t="s">
        <v>269</v>
      </c>
      <c r="H62" s="18"/>
      <c r="I62" s="18" t="s">
        <v>254</v>
      </c>
      <c r="J62" s="37"/>
      <c r="K62" s="37"/>
      <c r="L62" s="37"/>
      <c r="M62" s="37"/>
      <c r="N62" s="38"/>
      <c r="O62" s="38"/>
      <c r="P62" s="38"/>
      <c r="Q62" s="38"/>
      <c r="R62" s="38" t="s">
        <v>256</v>
      </c>
      <c r="S62"/>
      <c r="T62" s="4"/>
      <c r="U62" s="4"/>
    </row>
    <row r="63" spans="1:21" s="5" customFormat="1" x14ac:dyDescent="0.2">
      <c r="A63" s="48" t="s">
        <v>252</v>
      </c>
      <c r="B63" s="52">
        <f>$C$74-C63</f>
        <v>8.8194444444444575E-2</v>
      </c>
      <c r="C63" s="52">
        <f>$C$71-TIME(2,0,0)</f>
        <v>0.70833333333333326</v>
      </c>
      <c r="D63" s="48"/>
      <c r="E63" s="52"/>
      <c r="F63" s="18" t="s">
        <v>473</v>
      </c>
      <c r="G63" s="18" t="s">
        <v>271</v>
      </c>
      <c r="H63" s="18"/>
      <c r="I63" s="18" t="s">
        <v>254</v>
      </c>
      <c r="J63" s="37"/>
      <c r="K63" s="37"/>
      <c r="L63" s="37"/>
      <c r="M63" s="37"/>
      <c r="N63" s="38"/>
      <c r="O63" s="38"/>
      <c r="P63" s="38"/>
      <c r="Q63" s="38"/>
      <c r="R63" s="38" t="s">
        <v>256</v>
      </c>
      <c r="S63"/>
      <c r="T63" s="4"/>
      <c r="U63" s="4"/>
    </row>
    <row r="64" spans="1:21" s="5" customFormat="1" x14ac:dyDescent="0.2">
      <c r="A64" s="48" t="s">
        <v>252</v>
      </c>
      <c r="B64" s="52">
        <f>$C$74-C64</f>
        <v>5.6944444444444575E-2</v>
      </c>
      <c r="C64" s="52">
        <f>$C$71-TIME(1,15,0)</f>
        <v>0.73958333333333326</v>
      </c>
      <c r="D64" s="48"/>
      <c r="E64" s="52"/>
      <c r="F64" s="18" t="s">
        <v>366</v>
      </c>
      <c r="G64" s="18" t="s">
        <v>271</v>
      </c>
      <c r="H64" s="18"/>
      <c r="I64" s="18" t="s">
        <v>254</v>
      </c>
      <c r="J64" s="37"/>
      <c r="K64" s="37"/>
      <c r="L64" s="37"/>
      <c r="M64" s="37"/>
      <c r="N64" s="38"/>
      <c r="O64" s="38"/>
      <c r="P64" s="38"/>
      <c r="Q64" s="38"/>
      <c r="R64" s="38" t="s">
        <v>256</v>
      </c>
      <c r="S64"/>
      <c r="T64" s="4"/>
      <c r="U64" s="4"/>
    </row>
    <row r="65" spans="1:21" s="5" customFormat="1" x14ac:dyDescent="0.2">
      <c r="A65" s="48" t="s">
        <v>252</v>
      </c>
      <c r="B65" s="52">
        <f>$C$74-C65</f>
        <v>4.6527777777777835E-2</v>
      </c>
      <c r="C65" s="52">
        <f>$C$71-TIME(1,0,0)</f>
        <v>0.75</v>
      </c>
      <c r="D65" s="48"/>
      <c r="E65" s="52"/>
      <c r="F65" s="18" t="s">
        <v>52</v>
      </c>
      <c r="G65" s="18" t="s">
        <v>271</v>
      </c>
      <c r="H65" s="18"/>
      <c r="I65" s="18" t="s">
        <v>254</v>
      </c>
      <c r="J65" s="37"/>
      <c r="K65" s="37"/>
      <c r="L65" s="37"/>
      <c r="M65" s="37"/>
      <c r="N65" s="38"/>
      <c r="O65" s="38"/>
      <c r="P65" s="38"/>
      <c r="Q65" s="38"/>
      <c r="R65" s="38" t="s">
        <v>256</v>
      </c>
      <c r="S65"/>
      <c r="T65" s="4"/>
      <c r="U65" s="4"/>
    </row>
    <row r="66" spans="1:21" s="5" customFormat="1" x14ac:dyDescent="0.2">
      <c r="A66" s="48" t="s">
        <v>252</v>
      </c>
      <c r="B66" s="52"/>
      <c r="C66" s="52"/>
      <c r="D66" s="48"/>
      <c r="E66" s="52"/>
      <c r="F66" s="20" t="s">
        <v>53</v>
      </c>
      <c r="G66" s="18"/>
      <c r="H66" s="18"/>
      <c r="I66" s="18" t="s">
        <v>254</v>
      </c>
      <c r="J66" s="37"/>
      <c r="K66" s="37"/>
      <c r="L66" s="37"/>
      <c r="M66" s="37"/>
      <c r="N66" s="38"/>
      <c r="O66" s="38"/>
      <c r="P66" s="38"/>
      <c r="Q66" s="38"/>
      <c r="R66" s="38" t="s">
        <v>256</v>
      </c>
      <c r="S66"/>
      <c r="T66" s="4"/>
      <c r="U66" s="4"/>
    </row>
    <row r="67" spans="1:21" s="5" customFormat="1" x14ac:dyDescent="0.2">
      <c r="A67" s="48" t="s">
        <v>252</v>
      </c>
      <c r="B67" s="52"/>
      <c r="C67" s="52"/>
      <c r="D67" s="48"/>
      <c r="E67" s="52"/>
      <c r="F67" s="18" t="s">
        <v>55</v>
      </c>
      <c r="G67" s="18" t="s">
        <v>39</v>
      </c>
      <c r="H67" s="18"/>
      <c r="I67" s="18" t="s">
        <v>254</v>
      </c>
      <c r="J67" s="37"/>
      <c r="K67" s="37"/>
      <c r="L67" s="37"/>
      <c r="M67" s="37"/>
      <c r="N67" s="38"/>
      <c r="O67" s="38"/>
      <c r="P67" s="38"/>
      <c r="Q67" s="38"/>
      <c r="R67" s="38" t="s">
        <v>256</v>
      </c>
      <c r="S67"/>
      <c r="T67" s="4"/>
      <c r="U67" s="4"/>
    </row>
    <row r="68" spans="1:21" s="5" customFormat="1" x14ac:dyDescent="0.2">
      <c r="A68" s="48" t="s">
        <v>252</v>
      </c>
      <c r="B68" s="52"/>
      <c r="C68" s="52"/>
      <c r="D68" s="48"/>
      <c r="E68" s="52">
        <v>0.75</v>
      </c>
      <c r="F68" s="62" t="s">
        <v>367</v>
      </c>
      <c r="G68" s="18" t="s">
        <v>266</v>
      </c>
      <c r="H68" s="18"/>
      <c r="I68" s="18" t="s">
        <v>254</v>
      </c>
      <c r="J68" s="37"/>
      <c r="K68" s="37"/>
      <c r="L68" s="37"/>
      <c r="M68" s="37"/>
      <c r="N68" s="38"/>
      <c r="O68" s="38"/>
      <c r="P68" s="38"/>
      <c r="Q68" s="38"/>
      <c r="R68" s="38" t="s">
        <v>256</v>
      </c>
      <c r="S68"/>
      <c r="T68" s="4"/>
      <c r="U68" s="4"/>
    </row>
    <row r="69" spans="1:21" s="5" customFormat="1" x14ac:dyDescent="0.2">
      <c r="A69" s="48" t="s">
        <v>252</v>
      </c>
      <c r="B69" s="52"/>
      <c r="C69" s="52"/>
      <c r="D69" s="48"/>
      <c r="E69" s="52">
        <f>$C$71-TIME(0,15,0)</f>
        <v>0.78125</v>
      </c>
      <c r="F69" s="18" t="s">
        <v>274</v>
      </c>
      <c r="G69" s="18" t="s">
        <v>269</v>
      </c>
      <c r="H69" s="18"/>
      <c r="I69" s="18" t="s">
        <v>254</v>
      </c>
      <c r="J69" s="37"/>
      <c r="K69" s="37"/>
      <c r="L69" s="37"/>
      <c r="M69" s="37"/>
      <c r="N69" s="38"/>
      <c r="O69" s="38"/>
      <c r="P69" s="38"/>
      <c r="Q69" s="38"/>
      <c r="R69" s="38" t="s">
        <v>256</v>
      </c>
      <c r="S69"/>
      <c r="T69" s="4"/>
      <c r="U69" s="4"/>
    </row>
    <row r="70" spans="1:21" s="5" customFormat="1" x14ac:dyDescent="0.2">
      <c r="A70" s="48" t="s">
        <v>252</v>
      </c>
      <c r="B70" s="52">
        <f>$C$74-C70</f>
        <v>1.5277777777777835E-2</v>
      </c>
      <c r="C70" s="52">
        <f>$C$71-TIME(0,15,0)</f>
        <v>0.78125</v>
      </c>
      <c r="D70" s="50">
        <f>E70-C70</f>
        <v>0.12847222222222221</v>
      </c>
      <c r="E70" s="52">
        <v>0.90972222222222221</v>
      </c>
      <c r="F70" s="18" t="s">
        <v>56</v>
      </c>
      <c r="G70" s="18" t="s">
        <v>269</v>
      </c>
      <c r="H70" s="18"/>
      <c r="I70" s="18" t="s">
        <v>254</v>
      </c>
      <c r="J70" s="37"/>
      <c r="K70" s="37"/>
      <c r="L70" s="37"/>
      <c r="M70" s="37"/>
      <c r="N70" s="38"/>
      <c r="O70" s="38"/>
      <c r="P70" s="38"/>
      <c r="Q70" s="38"/>
      <c r="R70" s="38" t="s">
        <v>256</v>
      </c>
      <c r="S70"/>
      <c r="T70" s="4"/>
      <c r="U70" s="4"/>
    </row>
    <row r="71" spans="1:21" s="5" customFormat="1" x14ac:dyDescent="0.2">
      <c r="A71" s="41" t="s">
        <v>252</v>
      </c>
      <c r="B71" s="53">
        <f>$C$74-C71</f>
        <v>4.8611111111112049E-3</v>
      </c>
      <c r="C71" s="65">
        <v>0.79166666666666663</v>
      </c>
      <c r="D71" s="41"/>
      <c r="E71" s="53"/>
      <c r="F71" s="31" t="s">
        <v>57</v>
      </c>
      <c r="G71" s="40"/>
      <c r="H71" s="40"/>
      <c r="I71" s="40" t="s">
        <v>254</v>
      </c>
      <c r="J71" s="40" t="s">
        <v>785</v>
      </c>
      <c r="K71" s="40"/>
      <c r="L71" s="108">
        <f t="shared" ref="L71:L101" si="14">C71</f>
        <v>0.79166666666666663</v>
      </c>
      <c r="M71" s="103"/>
      <c r="N71" s="41"/>
      <c r="O71" s="41"/>
      <c r="P71" s="41"/>
      <c r="Q71" s="41"/>
      <c r="R71" s="41" t="s">
        <v>256</v>
      </c>
      <c r="S71"/>
      <c r="T71" s="4"/>
      <c r="U71" s="4"/>
    </row>
    <row r="72" spans="1:21" s="5" customFormat="1" x14ac:dyDescent="0.2">
      <c r="A72" s="48" t="s">
        <v>252</v>
      </c>
      <c r="B72" s="52">
        <f>$C$74-C72</f>
        <v>3.4722222222222099E-3</v>
      </c>
      <c r="C72" s="52">
        <f>$C$74-TIME(0,5,0)</f>
        <v>0.79305555555555562</v>
      </c>
      <c r="D72" s="48"/>
      <c r="E72" s="52"/>
      <c r="F72" s="18" t="s">
        <v>275</v>
      </c>
      <c r="G72" s="18" t="s">
        <v>269</v>
      </c>
      <c r="H72" s="18"/>
      <c r="I72" s="18" t="s">
        <v>254</v>
      </c>
      <c r="J72" s="18" t="s">
        <v>785</v>
      </c>
      <c r="K72" s="37"/>
      <c r="L72" s="105">
        <f t="shared" si="14"/>
        <v>0.79305555555555562</v>
      </c>
      <c r="M72" s="105"/>
      <c r="N72" s="38"/>
      <c r="O72" s="38" t="s">
        <v>256</v>
      </c>
      <c r="P72" s="38" t="s">
        <v>256</v>
      </c>
      <c r="Q72" s="38" t="s">
        <v>256</v>
      </c>
      <c r="R72" s="38"/>
      <c r="S72"/>
      <c r="T72" s="4"/>
      <c r="U72" s="4"/>
    </row>
    <row r="73" spans="1:21" s="5" customFormat="1" x14ac:dyDescent="0.2">
      <c r="A73" s="48" t="s">
        <v>252</v>
      </c>
      <c r="B73" s="52">
        <f>$C$74-C73</f>
        <v>1.0416666666667185E-3</v>
      </c>
      <c r="C73" s="52">
        <f>$C$74-TIME(0,1,30)</f>
        <v>0.79548611111111112</v>
      </c>
      <c r="D73" s="52">
        <f>E73-C73</f>
        <v>1.0416666666667185E-3</v>
      </c>
      <c r="E73" s="52">
        <f>$C$74</f>
        <v>0.79652777777777783</v>
      </c>
      <c r="F73" s="18" t="s">
        <v>277</v>
      </c>
      <c r="G73" s="18" t="s">
        <v>39</v>
      </c>
      <c r="H73" s="18"/>
      <c r="I73" s="18" t="s">
        <v>254</v>
      </c>
      <c r="J73" s="18" t="s">
        <v>785</v>
      </c>
      <c r="K73" s="37"/>
      <c r="L73" s="105">
        <f t="shared" si="14"/>
        <v>0.79548611111111112</v>
      </c>
      <c r="M73" s="105">
        <f t="shared" ref="M73:M99" si="15">E73</f>
        <v>0.79652777777777783</v>
      </c>
      <c r="N73" s="38"/>
      <c r="O73" s="38" t="s">
        <v>256</v>
      </c>
      <c r="P73" s="38" t="s">
        <v>256</v>
      </c>
      <c r="Q73" s="38" t="s">
        <v>256</v>
      </c>
      <c r="R73" s="38"/>
      <c r="S73"/>
      <c r="T73" s="4"/>
      <c r="U73" s="4"/>
    </row>
    <row r="74" spans="1:21" s="5" customFormat="1" x14ac:dyDescent="0.2">
      <c r="A74" s="43"/>
      <c r="B74" s="43"/>
      <c r="C74" s="57">
        <v>0.79652777777777783</v>
      </c>
      <c r="D74" s="43"/>
      <c r="E74" s="54"/>
      <c r="F74" s="32" t="s">
        <v>60</v>
      </c>
      <c r="G74" s="42"/>
      <c r="H74" s="42"/>
      <c r="I74" s="42" t="s">
        <v>254</v>
      </c>
      <c r="J74" s="42" t="s">
        <v>785</v>
      </c>
      <c r="K74" s="42"/>
      <c r="L74" s="104">
        <f t="shared" si="14"/>
        <v>0.79652777777777783</v>
      </c>
      <c r="M74" s="104"/>
      <c r="N74" s="43"/>
      <c r="O74" s="43" t="s">
        <v>256</v>
      </c>
      <c r="P74" s="43" t="s">
        <v>256</v>
      </c>
      <c r="Q74" s="43" t="s">
        <v>256</v>
      </c>
      <c r="R74" s="43" t="s">
        <v>256</v>
      </c>
      <c r="S74"/>
      <c r="T74" s="4"/>
      <c r="U74" s="4"/>
    </row>
    <row r="75" spans="1:21" s="5" customFormat="1" x14ac:dyDescent="0.2">
      <c r="A75" s="48" t="s">
        <v>279</v>
      </c>
      <c r="B75" s="52">
        <f>C75-$C$74</f>
        <v>0</v>
      </c>
      <c r="C75" s="52">
        <f>'[1]Day 5-F'!$C$11</f>
        <v>0.79652777777777783</v>
      </c>
      <c r="D75" s="50">
        <f t="shared" ref="D75:D102" si="16">E75-C75</f>
        <v>4.5023148148148895E-3</v>
      </c>
      <c r="E75" s="52">
        <f>C76</f>
        <v>0.80103009259259272</v>
      </c>
      <c r="F75" s="7" t="s">
        <v>786</v>
      </c>
      <c r="G75" s="18" t="s">
        <v>269</v>
      </c>
      <c r="H75" s="18"/>
      <c r="I75" s="18" t="s">
        <v>254</v>
      </c>
      <c r="J75" s="18" t="s">
        <v>785</v>
      </c>
      <c r="K75" s="61" t="s">
        <v>1087</v>
      </c>
      <c r="L75" s="107">
        <f t="shared" si="14"/>
        <v>0.79652777777777783</v>
      </c>
      <c r="M75" s="105">
        <f t="shared" si="15"/>
        <v>0.80103009259259272</v>
      </c>
      <c r="N75" s="38"/>
      <c r="O75" s="38" t="s">
        <v>256</v>
      </c>
      <c r="P75" s="38" t="s">
        <v>256</v>
      </c>
      <c r="Q75" s="38" t="s">
        <v>256</v>
      </c>
      <c r="R75" s="38"/>
      <c r="S75"/>
      <c r="T75" s="4"/>
      <c r="U75" s="4"/>
    </row>
    <row r="76" spans="1:21" s="5" customFormat="1" x14ac:dyDescent="0.2">
      <c r="A76" s="48" t="s">
        <v>279</v>
      </c>
      <c r="B76" s="52">
        <f t="shared" ref="B76:B100" si="17">C76-$C$74</f>
        <v>4.5023148148148895E-3</v>
      </c>
      <c r="C76" s="52">
        <f>'[1]Day 5-F'!$C$15</f>
        <v>0.80103009259259272</v>
      </c>
      <c r="D76" s="50">
        <f t="shared" si="16"/>
        <v>5.2083333333334814E-3</v>
      </c>
      <c r="E76" s="52">
        <f t="shared" ref="E76:E99" si="18">C77</f>
        <v>0.80623842592592621</v>
      </c>
      <c r="F76" s="7" t="s">
        <v>787</v>
      </c>
      <c r="G76" s="18" t="s">
        <v>269</v>
      </c>
      <c r="H76" s="18"/>
      <c r="I76" s="18" t="s">
        <v>254</v>
      </c>
      <c r="J76" s="18" t="s">
        <v>785</v>
      </c>
      <c r="K76" s="61" t="s">
        <v>788</v>
      </c>
      <c r="L76" s="107">
        <f t="shared" si="14"/>
        <v>0.80103009259259272</v>
      </c>
      <c r="M76" s="105">
        <f t="shared" si="15"/>
        <v>0.80623842592592621</v>
      </c>
      <c r="N76" s="38"/>
      <c r="O76" s="38" t="s">
        <v>256</v>
      </c>
      <c r="P76" s="38" t="s">
        <v>256</v>
      </c>
      <c r="Q76" s="38" t="s">
        <v>256</v>
      </c>
      <c r="R76" s="38"/>
      <c r="S76"/>
      <c r="T76" s="4"/>
      <c r="U76" s="4"/>
    </row>
    <row r="77" spans="1:21" s="5" customFormat="1" x14ac:dyDescent="0.2">
      <c r="A77" s="48" t="s">
        <v>279</v>
      </c>
      <c r="B77" s="52">
        <f t="shared" si="17"/>
        <v>9.7106481481483709E-3</v>
      </c>
      <c r="C77" s="52">
        <f>'[1]Day 5-F'!$C$19</f>
        <v>0.80623842592592621</v>
      </c>
      <c r="D77" s="50">
        <f t="shared" si="16"/>
        <v>5.2314814814815591E-3</v>
      </c>
      <c r="E77" s="52">
        <f t="shared" si="18"/>
        <v>0.81146990740740776</v>
      </c>
      <c r="F77" s="7" t="s">
        <v>789</v>
      </c>
      <c r="G77" s="18" t="s">
        <v>269</v>
      </c>
      <c r="H77" s="18"/>
      <c r="I77" s="18" t="s">
        <v>254</v>
      </c>
      <c r="J77" s="18" t="s">
        <v>785</v>
      </c>
      <c r="K77" s="61" t="s">
        <v>790</v>
      </c>
      <c r="L77" s="107">
        <f t="shared" si="14"/>
        <v>0.80623842592592621</v>
      </c>
      <c r="M77" s="105">
        <f t="shared" si="15"/>
        <v>0.81146990740740776</v>
      </c>
      <c r="N77" s="38"/>
      <c r="O77" s="38" t="s">
        <v>256</v>
      </c>
      <c r="P77" s="38" t="s">
        <v>256</v>
      </c>
      <c r="Q77" s="38" t="s">
        <v>256</v>
      </c>
      <c r="R77" s="38"/>
      <c r="S77"/>
      <c r="T77" s="4"/>
      <c r="U77" s="4"/>
    </row>
    <row r="78" spans="1:21" s="5" customFormat="1" x14ac:dyDescent="0.2">
      <c r="A78" s="48" t="s">
        <v>279</v>
      </c>
      <c r="B78" s="52">
        <f t="shared" si="17"/>
        <v>1.494212962962993E-2</v>
      </c>
      <c r="C78" s="52">
        <f>'[1]Day 5-F'!$C$23</f>
        <v>0.81146990740740776</v>
      </c>
      <c r="D78" s="50">
        <f t="shared" si="16"/>
        <v>5.2083333333333703E-3</v>
      </c>
      <c r="E78" s="52">
        <f t="shared" si="18"/>
        <v>0.81667824074074113</v>
      </c>
      <c r="F78" s="34" t="s">
        <v>791</v>
      </c>
      <c r="G78" s="18" t="s">
        <v>269</v>
      </c>
      <c r="H78" s="18"/>
      <c r="I78" s="18" t="s">
        <v>254</v>
      </c>
      <c r="J78" s="18" t="s">
        <v>785</v>
      </c>
      <c r="K78" s="44" t="s">
        <v>792</v>
      </c>
      <c r="L78" s="107">
        <f t="shared" si="14"/>
        <v>0.81146990740740776</v>
      </c>
      <c r="M78" s="105">
        <f t="shared" si="15"/>
        <v>0.81667824074074113</v>
      </c>
      <c r="N78" s="38"/>
      <c r="O78" s="38" t="s">
        <v>256</v>
      </c>
      <c r="P78" s="38" t="s">
        <v>256</v>
      </c>
      <c r="Q78" s="38" t="s">
        <v>256</v>
      </c>
      <c r="R78" s="38"/>
      <c r="S78"/>
      <c r="T78" s="4"/>
      <c r="U78" s="4"/>
    </row>
    <row r="79" spans="1:21" s="5" customFormat="1" x14ac:dyDescent="0.2">
      <c r="A79" s="48" t="s">
        <v>279</v>
      </c>
      <c r="B79" s="52">
        <f t="shared" si="17"/>
        <v>2.01504629629633E-2</v>
      </c>
      <c r="C79" s="52">
        <f>'[1]Day 5-F'!$C$24</f>
        <v>0.81667824074074113</v>
      </c>
      <c r="D79" s="50">
        <f t="shared" si="16"/>
        <v>5.2083333333333703E-3</v>
      </c>
      <c r="E79" s="52">
        <f t="shared" si="18"/>
        <v>0.82188657407407451</v>
      </c>
      <c r="F79" s="34" t="s">
        <v>793</v>
      </c>
      <c r="G79" s="18" t="s">
        <v>269</v>
      </c>
      <c r="H79" s="18"/>
      <c r="I79" s="18" t="s">
        <v>254</v>
      </c>
      <c r="J79" s="18" t="s">
        <v>785</v>
      </c>
      <c r="K79" s="44" t="s">
        <v>794</v>
      </c>
      <c r="L79" s="107">
        <f t="shared" si="14"/>
        <v>0.81667824074074113</v>
      </c>
      <c r="M79" s="105">
        <f t="shared" si="15"/>
        <v>0.82188657407407451</v>
      </c>
      <c r="N79" s="38"/>
      <c r="O79" s="38" t="s">
        <v>256</v>
      </c>
      <c r="P79" s="38" t="s">
        <v>256</v>
      </c>
      <c r="Q79" s="38" t="s">
        <v>256</v>
      </c>
      <c r="R79" s="38"/>
      <c r="S79"/>
      <c r="T79" s="4"/>
      <c r="U79" s="4"/>
    </row>
    <row r="80" spans="1:21" s="5" customFormat="1" x14ac:dyDescent="0.2">
      <c r="A80" s="48" t="s">
        <v>279</v>
      </c>
      <c r="B80" s="52">
        <f t="shared" si="17"/>
        <v>2.5358796296296671E-2</v>
      </c>
      <c r="C80" s="52">
        <f>'[1]Day 5-F'!$C$25</f>
        <v>0.82188657407407451</v>
      </c>
      <c r="D80" s="50">
        <f t="shared" si="16"/>
        <v>4.35185185185194E-3</v>
      </c>
      <c r="E80" s="52">
        <f t="shared" si="18"/>
        <v>0.82623842592592645</v>
      </c>
      <c r="F80" s="7" t="s">
        <v>795</v>
      </c>
      <c r="G80" s="18" t="s">
        <v>269</v>
      </c>
      <c r="H80" s="18"/>
      <c r="I80" s="18" t="s">
        <v>254</v>
      </c>
      <c r="J80" s="18" t="s">
        <v>785</v>
      </c>
      <c r="K80" s="44" t="s">
        <v>796</v>
      </c>
      <c r="L80" s="107">
        <f t="shared" si="14"/>
        <v>0.82188657407407451</v>
      </c>
      <c r="M80" s="105">
        <f t="shared" si="15"/>
        <v>0.82623842592592645</v>
      </c>
      <c r="N80" s="38"/>
      <c r="O80" s="38" t="s">
        <v>256</v>
      </c>
      <c r="P80" s="38" t="s">
        <v>256</v>
      </c>
      <c r="Q80" s="38" t="s">
        <v>256</v>
      </c>
      <c r="R80" s="38"/>
      <c r="S80"/>
      <c r="T80" s="4"/>
      <c r="U80" s="4"/>
    </row>
    <row r="81" spans="1:21" s="5" customFormat="1" x14ac:dyDescent="0.2">
      <c r="A81" s="48" t="s">
        <v>279</v>
      </c>
      <c r="B81" s="52">
        <f t="shared" si="17"/>
        <v>2.9710648148148611E-2</v>
      </c>
      <c r="C81" s="52">
        <f>'[1]Day 5-F'!$C$29</f>
        <v>0.82623842592592645</v>
      </c>
      <c r="D81" s="50">
        <f t="shared" si="16"/>
        <v>4.3287037037037512E-3</v>
      </c>
      <c r="E81" s="52">
        <f t="shared" si="18"/>
        <v>0.8305671296296302</v>
      </c>
      <c r="F81" s="7" t="s">
        <v>797</v>
      </c>
      <c r="G81" s="18" t="s">
        <v>269</v>
      </c>
      <c r="H81" s="18"/>
      <c r="I81" s="18" t="s">
        <v>254</v>
      </c>
      <c r="J81" s="18" t="s">
        <v>785</v>
      </c>
      <c r="K81" s="44" t="s">
        <v>798</v>
      </c>
      <c r="L81" s="107">
        <f t="shared" si="14"/>
        <v>0.82623842592592645</v>
      </c>
      <c r="M81" s="105">
        <f t="shared" si="15"/>
        <v>0.8305671296296302</v>
      </c>
      <c r="N81" s="38"/>
      <c r="O81" s="38" t="s">
        <v>256</v>
      </c>
      <c r="P81" s="38" t="s">
        <v>256</v>
      </c>
      <c r="Q81" s="38" t="s">
        <v>256</v>
      </c>
      <c r="R81" s="38"/>
      <c r="S81"/>
      <c r="T81" s="4"/>
      <c r="U81" s="4"/>
    </row>
    <row r="82" spans="1:21" s="5" customFormat="1" x14ac:dyDescent="0.2">
      <c r="A82" s="48" t="s">
        <v>279</v>
      </c>
      <c r="B82" s="52">
        <f t="shared" si="17"/>
        <v>3.4039351851852362E-2</v>
      </c>
      <c r="C82" s="52">
        <f>'[1]Day 5-F'!$C$33</f>
        <v>0.8305671296296302</v>
      </c>
      <c r="D82" s="50">
        <f t="shared" si="16"/>
        <v>5.2083333333333703E-3</v>
      </c>
      <c r="E82" s="52">
        <f t="shared" si="18"/>
        <v>0.83577546296296357</v>
      </c>
      <c r="F82" s="34" t="s">
        <v>799</v>
      </c>
      <c r="G82" s="18" t="s">
        <v>269</v>
      </c>
      <c r="H82" s="18"/>
      <c r="I82" s="18" t="s">
        <v>254</v>
      </c>
      <c r="J82" s="18" t="s">
        <v>785</v>
      </c>
      <c r="K82" s="44" t="s">
        <v>800</v>
      </c>
      <c r="L82" s="107">
        <f t="shared" si="14"/>
        <v>0.8305671296296302</v>
      </c>
      <c r="M82" s="105">
        <f t="shared" si="15"/>
        <v>0.83577546296296357</v>
      </c>
      <c r="N82" s="38"/>
      <c r="O82" s="38" t="s">
        <v>256</v>
      </c>
      <c r="P82" s="38" t="s">
        <v>256</v>
      </c>
      <c r="Q82" s="38" t="s">
        <v>256</v>
      </c>
      <c r="R82" s="38"/>
      <c r="S82"/>
      <c r="T82" s="4"/>
      <c r="U82" s="4"/>
    </row>
    <row r="83" spans="1:21" s="5" customFormat="1" x14ac:dyDescent="0.2">
      <c r="A83" s="48" t="s">
        <v>279</v>
      </c>
      <c r="B83" s="52">
        <f t="shared" si="17"/>
        <v>3.9247685185185732E-2</v>
      </c>
      <c r="C83" s="52">
        <f>'[1]Day 5-F'!$C$34</f>
        <v>0.83577546296296357</v>
      </c>
      <c r="D83" s="50">
        <f t="shared" si="16"/>
        <v>5.2083333333333703E-3</v>
      </c>
      <c r="E83" s="52">
        <f t="shared" si="18"/>
        <v>0.84098379629629694</v>
      </c>
      <c r="F83" s="34" t="s">
        <v>801</v>
      </c>
      <c r="G83" s="18" t="s">
        <v>269</v>
      </c>
      <c r="H83" s="18"/>
      <c r="I83" s="18" t="s">
        <v>254</v>
      </c>
      <c r="J83" s="18" t="s">
        <v>785</v>
      </c>
      <c r="K83" s="44" t="s">
        <v>802</v>
      </c>
      <c r="L83" s="107">
        <f t="shared" si="14"/>
        <v>0.83577546296296357</v>
      </c>
      <c r="M83" s="105">
        <f t="shared" si="15"/>
        <v>0.84098379629629694</v>
      </c>
      <c r="N83" s="38"/>
      <c r="O83" s="38" t="s">
        <v>256</v>
      </c>
      <c r="P83" s="38" t="s">
        <v>256</v>
      </c>
      <c r="Q83" s="38" t="s">
        <v>256</v>
      </c>
      <c r="R83" s="38"/>
      <c r="S83"/>
      <c r="T83" s="4"/>
      <c r="U83" s="4"/>
    </row>
    <row r="84" spans="1:21" s="5" customFormat="1" x14ac:dyDescent="0.2">
      <c r="A84" s="48" t="s">
        <v>279</v>
      </c>
      <c r="B84" s="52">
        <f t="shared" si="17"/>
        <v>4.4456018518519103E-2</v>
      </c>
      <c r="C84" s="52">
        <f>'[1]Day 5-F'!$C$35</f>
        <v>0.84098379629629694</v>
      </c>
      <c r="D84" s="50">
        <f t="shared" si="16"/>
        <v>3.6342592592593093E-3</v>
      </c>
      <c r="E84" s="52">
        <f t="shared" si="18"/>
        <v>0.84461805555555625</v>
      </c>
      <c r="F84" s="18" t="s">
        <v>803</v>
      </c>
      <c r="G84" s="18" t="s">
        <v>269</v>
      </c>
      <c r="H84" s="18"/>
      <c r="I84" s="18" t="s">
        <v>254</v>
      </c>
      <c r="J84" s="18" t="s">
        <v>785</v>
      </c>
      <c r="K84" s="44" t="s">
        <v>804</v>
      </c>
      <c r="L84" s="107">
        <f t="shared" si="14"/>
        <v>0.84098379629629694</v>
      </c>
      <c r="M84" s="105">
        <f t="shared" si="15"/>
        <v>0.84461805555555625</v>
      </c>
      <c r="N84" s="38"/>
      <c r="O84" s="38" t="s">
        <v>256</v>
      </c>
      <c r="P84" s="38" t="s">
        <v>256</v>
      </c>
      <c r="Q84" s="38" t="s">
        <v>256</v>
      </c>
      <c r="R84" s="38"/>
      <c r="S84"/>
      <c r="T84" s="4"/>
      <c r="U84" s="4"/>
    </row>
    <row r="85" spans="1:21" s="5" customFormat="1" x14ac:dyDescent="0.2">
      <c r="A85" s="48" t="s">
        <v>279</v>
      </c>
      <c r="B85" s="52">
        <f t="shared" si="17"/>
        <v>4.8090277777778412E-2</v>
      </c>
      <c r="C85" s="52">
        <f>'[1]Day 5-F'!$C$39</f>
        <v>0.84461805555555625</v>
      </c>
      <c r="D85" s="50">
        <f t="shared" si="16"/>
        <v>3.460648148148171E-3</v>
      </c>
      <c r="E85" s="52">
        <f t="shared" si="18"/>
        <v>0.84807870370370442</v>
      </c>
      <c r="F85" s="18" t="s">
        <v>805</v>
      </c>
      <c r="G85" s="18" t="s">
        <v>269</v>
      </c>
      <c r="H85" s="18"/>
      <c r="I85" s="18" t="s">
        <v>254</v>
      </c>
      <c r="J85" s="18" t="s">
        <v>785</v>
      </c>
      <c r="K85" s="18" t="s">
        <v>806</v>
      </c>
      <c r="L85" s="105">
        <f t="shared" si="14"/>
        <v>0.84461805555555625</v>
      </c>
      <c r="M85" s="105">
        <f t="shared" si="15"/>
        <v>0.84807870370370442</v>
      </c>
      <c r="N85" s="38"/>
      <c r="O85" s="38" t="s">
        <v>256</v>
      </c>
      <c r="P85" s="38" t="s">
        <v>256</v>
      </c>
      <c r="Q85" s="38" t="s">
        <v>256</v>
      </c>
      <c r="R85" s="38"/>
      <c r="S85"/>
      <c r="T85" s="4"/>
      <c r="U85" s="4"/>
    </row>
    <row r="86" spans="1:21" s="5" customFormat="1" x14ac:dyDescent="0.2">
      <c r="A86" s="48" t="s">
        <v>279</v>
      </c>
      <c r="B86" s="52">
        <f t="shared" si="17"/>
        <v>5.1550925925926583E-2</v>
      </c>
      <c r="C86" s="52">
        <f>'[1]Day 5-F'!$C$43</f>
        <v>0.84807870370370442</v>
      </c>
      <c r="D86" s="50">
        <f t="shared" si="16"/>
        <v>4.0393518518520022E-3</v>
      </c>
      <c r="E86" s="52">
        <f t="shared" si="18"/>
        <v>0.85211805555555642</v>
      </c>
      <c r="F86" s="7" t="s">
        <v>807</v>
      </c>
      <c r="G86" s="18" t="s">
        <v>269</v>
      </c>
      <c r="H86" s="18"/>
      <c r="I86" s="18" t="s">
        <v>254</v>
      </c>
      <c r="J86" s="18" t="s">
        <v>785</v>
      </c>
      <c r="K86" s="18" t="s">
        <v>808</v>
      </c>
      <c r="L86" s="105">
        <f t="shared" si="14"/>
        <v>0.84807870370370442</v>
      </c>
      <c r="M86" s="105">
        <f t="shared" si="15"/>
        <v>0.85211805555555642</v>
      </c>
      <c r="N86" s="38"/>
      <c r="O86" s="38" t="s">
        <v>256</v>
      </c>
      <c r="P86" s="38" t="s">
        <v>256</v>
      </c>
      <c r="Q86" s="38" t="s">
        <v>256</v>
      </c>
      <c r="R86" s="38"/>
      <c r="S86"/>
      <c r="T86" s="4"/>
      <c r="U86" s="4"/>
    </row>
    <row r="87" spans="1:21" s="5" customFormat="1" x14ac:dyDescent="0.2">
      <c r="A87" s="48" t="s">
        <v>279</v>
      </c>
      <c r="B87" s="52">
        <f t="shared" si="17"/>
        <v>5.5590277777778585E-2</v>
      </c>
      <c r="C87" s="52">
        <f>'[1]Day 5-F'!$C$47</f>
        <v>0.85211805555555642</v>
      </c>
      <c r="D87" s="50">
        <f t="shared" si="16"/>
        <v>5.2083333333333703E-3</v>
      </c>
      <c r="E87" s="52">
        <f t="shared" si="18"/>
        <v>0.85732638888888979</v>
      </c>
      <c r="F87" s="34" t="s">
        <v>809</v>
      </c>
      <c r="G87" s="18" t="s">
        <v>269</v>
      </c>
      <c r="H87" s="18"/>
      <c r="I87" s="18" t="s">
        <v>254</v>
      </c>
      <c r="J87" s="18" t="s">
        <v>785</v>
      </c>
      <c r="K87" s="18" t="s">
        <v>810</v>
      </c>
      <c r="L87" s="105">
        <f t="shared" si="14"/>
        <v>0.85211805555555642</v>
      </c>
      <c r="M87" s="105">
        <f t="shared" si="15"/>
        <v>0.85732638888888979</v>
      </c>
      <c r="N87" s="38"/>
      <c r="O87" s="38" t="s">
        <v>256</v>
      </c>
      <c r="P87" s="38" t="s">
        <v>256</v>
      </c>
      <c r="Q87" s="38" t="s">
        <v>256</v>
      </c>
      <c r="R87" s="38"/>
      <c r="S87"/>
      <c r="T87" s="4"/>
      <c r="U87" s="4"/>
    </row>
    <row r="88" spans="1:21" s="5" customFormat="1" x14ac:dyDescent="0.2">
      <c r="A88" s="48" t="s">
        <v>279</v>
      </c>
      <c r="B88" s="52">
        <f t="shared" si="17"/>
        <v>6.0798611111111955E-2</v>
      </c>
      <c r="C88" s="52">
        <f>'[1]Day 5-F'!$C$48</f>
        <v>0.85732638888888979</v>
      </c>
      <c r="D88" s="50">
        <f t="shared" si="16"/>
        <v>3.8194444444444864E-3</v>
      </c>
      <c r="E88" s="52">
        <f t="shared" si="18"/>
        <v>0.86114583333333428</v>
      </c>
      <c r="F88" s="18" t="s">
        <v>811</v>
      </c>
      <c r="G88" s="18" t="s">
        <v>269</v>
      </c>
      <c r="H88" s="18"/>
      <c r="I88" s="18" t="s">
        <v>254</v>
      </c>
      <c r="J88" s="18" t="s">
        <v>785</v>
      </c>
      <c r="K88" s="18" t="s">
        <v>812</v>
      </c>
      <c r="L88" s="105">
        <f t="shared" si="14"/>
        <v>0.85732638888888979</v>
      </c>
      <c r="M88" s="105">
        <f t="shared" si="15"/>
        <v>0.86114583333333428</v>
      </c>
      <c r="N88" s="38"/>
      <c r="O88" s="38" t="s">
        <v>256</v>
      </c>
      <c r="P88" s="38" t="s">
        <v>256</v>
      </c>
      <c r="Q88" s="38" t="s">
        <v>256</v>
      </c>
      <c r="R88" s="38"/>
      <c r="S88"/>
      <c r="T88" s="4"/>
      <c r="U88" s="4"/>
    </row>
    <row r="89" spans="1:21" s="5" customFormat="1" x14ac:dyDescent="0.2">
      <c r="A89" s="48" t="s">
        <v>279</v>
      </c>
      <c r="B89" s="52">
        <f t="shared" si="17"/>
        <v>6.4618055555556442E-2</v>
      </c>
      <c r="C89" s="52">
        <f>'[1]Day 5-F'!$C$52</f>
        <v>0.86114583333333428</v>
      </c>
      <c r="D89" s="50">
        <f t="shared" si="16"/>
        <v>3.6458333333333481E-3</v>
      </c>
      <c r="E89" s="52">
        <f t="shared" si="18"/>
        <v>0.86479166666666762</v>
      </c>
      <c r="F89" s="18" t="s">
        <v>813</v>
      </c>
      <c r="G89" s="18" t="s">
        <v>269</v>
      </c>
      <c r="H89" s="18"/>
      <c r="I89" s="18" t="s">
        <v>254</v>
      </c>
      <c r="J89" s="18" t="s">
        <v>785</v>
      </c>
      <c r="K89" s="18" t="s">
        <v>814</v>
      </c>
      <c r="L89" s="105">
        <f t="shared" si="14"/>
        <v>0.86114583333333428</v>
      </c>
      <c r="M89" s="105">
        <f t="shared" si="15"/>
        <v>0.86479166666666762</v>
      </c>
      <c r="N89" s="38"/>
      <c r="O89" s="38" t="s">
        <v>256</v>
      </c>
      <c r="P89" s="38" t="s">
        <v>256</v>
      </c>
      <c r="Q89" s="38" t="s">
        <v>256</v>
      </c>
      <c r="R89" s="38"/>
      <c r="S89"/>
      <c r="T89" s="4"/>
      <c r="U89" s="4"/>
    </row>
    <row r="90" spans="1:21" s="5" customFormat="1" x14ac:dyDescent="0.2">
      <c r="A90" s="48" t="s">
        <v>279</v>
      </c>
      <c r="B90" s="52">
        <f t="shared" si="17"/>
        <v>6.826388888888979E-2</v>
      </c>
      <c r="C90" s="52">
        <f>'[1]Day 5-F'!$C$56</f>
        <v>0.86479166666666762</v>
      </c>
      <c r="D90" s="50">
        <f t="shared" si="16"/>
        <v>4.5138888888890394E-3</v>
      </c>
      <c r="E90" s="52">
        <f t="shared" si="18"/>
        <v>0.86930555555555666</v>
      </c>
      <c r="F90" s="7" t="s">
        <v>815</v>
      </c>
      <c r="G90" s="18" t="s">
        <v>269</v>
      </c>
      <c r="H90" s="18"/>
      <c r="I90" s="18" t="s">
        <v>254</v>
      </c>
      <c r="J90" s="18" t="s">
        <v>785</v>
      </c>
      <c r="K90" s="18" t="s">
        <v>816</v>
      </c>
      <c r="L90" s="105">
        <f t="shared" si="14"/>
        <v>0.86479166666666762</v>
      </c>
      <c r="M90" s="105">
        <f t="shared" si="15"/>
        <v>0.86930555555555666</v>
      </c>
      <c r="N90" s="38"/>
      <c r="O90" s="38" t="s">
        <v>256</v>
      </c>
      <c r="P90" s="38" t="s">
        <v>256</v>
      </c>
      <c r="Q90" s="38" t="s">
        <v>256</v>
      </c>
      <c r="R90" s="38"/>
      <c r="S90"/>
      <c r="T90" s="4"/>
      <c r="U90" s="4"/>
    </row>
    <row r="91" spans="1:21" s="5" customFormat="1" x14ac:dyDescent="0.2">
      <c r="A91" s="48" t="s">
        <v>279</v>
      </c>
      <c r="B91" s="52">
        <f t="shared" si="17"/>
        <v>7.2777777777778829E-2</v>
      </c>
      <c r="C91" s="52">
        <f>'[1]Day 5-F'!$C$60</f>
        <v>0.86930555555555666</v>
      </c>
      <c r="D91" s="50">
        <f t="shared" si="16"/>
        <v>5.9027777777779233E-3</v>
      </c>
      <c r="E91" s="52">
        <f t="shared" si="18"/>
        <v>0.87520833333333459</v>
      </c>
      <c r="F91" s="7" t="s">
        <v>817</v>
      </c>
      <c r="G91" s="18" t="s">
        <v>269</v>
      </c>
      <c r="H91" s="18"/>
      <c r="I91" s="18" t="s">
        <v>254</v>
      </c>
      <c r="J91" s="18" t="s">
        <v>785</v>
      </c>
      <c r="K91" s="18" t="s">
        <v>818</v>
      </c>
      <c r="L91" s="105">
        <f t="shared" si="14"/>
        <v>0.86930555555555666</v>
      </c>
      <c r="M91" s="105">
        <f t="shared" si="15"/>
        <v>0.87520833333333459</v>
      </c>
      <c r="N91" s="38"/>
      <c r="O91" s="38" t="s">
        <v>256</v>
      </c>
      <c r="P91" s="38" t="s">
        <v>256</v>
      </c>
      <c r="Q91" s="38" t="s">
        <v>256</v>
      </c>
      <c r="R91" s="38"/>
      <c r="S91"/>
      <c r="T91" s="4"/>
      <c r="U91" s="4"/>
    </row>
    <row r="92" spans="1:21" s="5" customFormat="1" x14ac:dyDescent="0.2">
      <c r="A92" s="48" t="s">
        <v>279</v>
      </c>
      <c r="B92" s="52">
        <f t="shared" si="17"/>
        <v>7.8680555555556753E-2</v>
      </c>
      <c r="C92" s="52">
        <f>'[1]Day 5-F'!$C$64</f>
        <v>0.87520833333333459</v>
      </c>
      <c r="D92" s="50">
        <f t="shared" si="16"/>
        <v>5.2083333333333703E-3</v>
      </c>
      <c r="E92" s="52">
        <f t="shared" si="18"/>
        <v>0.88041666666666796</v>
      </c>
      <c r="F92" s="34" t="s">
        <v>819</v>
      </c>
      <c r="G92" s="18" t="s">
        <v>269</v>
      </c>
      <c r="H92" s="18"/>
      <c r="I92" s="18" t="s">
        <v>254</v>
      </c>
      <c r="J92" s="18" t="s">
        <v>785</v>
      </c>
      <c r="K92" s="18" t="s">
        <v>820</v>
      </c>
      <c r="L92" s="105">
        <f t="shared" si="14"/>
        <v>0.87520833333333459</v>
      </c>
      <c r="M92" s="105">
        <f t="shared" si="15"/>
        <v>0.88041666666666796</v>
      </c>
      <c r="N92" s="38"/>
      <c r="O92" s="38" t="s">
        <v>256</v>
      </c>
      <c r="P92" s="38" t="s">
        <v>256</v>
      </c>
      <c r="Q92" s="38" t="s">
        <v>256</v>
      </c>
      <c r="R92" s="38"/>
      <c r="S92"/>
      <c r="T92" s="4"/>
      <c r="U92" s="4"/>
    </row>
    <row r="93" spans="1:21" s="5" customFormat="1" x14ac:dyDescent="0.2">
      <c r="A93" s="48" t="s">
        <v>279</v>
      </c>
      <c r="B93" s="52">
        <f t="shared" si="17"/>
        <v>8.3888888888890123E-2</v>
      </c>
      <c r="C93" s="52">
        <f>'[1]Day 5-F'!$C$65</f>
        <v>0.88041666666666796</v>
      </c>
      <c r="D93" s="50">
        <f t="shared" si="16"/>
        <v>5.2083333333333703E-3</v>
      </c>
      <c r="E93" s="52">
        <f t="shared" si="18"/>
        <v>0.88562500000000133</v>
      </c>
      <c r="F93" s="34" t="s">
        <v>821</v>
      </c>
      <c r="G93" s="18" t="s">
        <v>269</v>
      </c>
      <c r="H93" s="18"/>
      <c r="I93" s="18" t="s">
        <v>254</v>
      </c>
      <c r="J93" s="18" t="s">
        <v>785</v>
      </c>
      <c r="K93" s="18" t="s">
        <v>822</v>
      </c>
      <c r="L93" s="105">
        <f t="shared" si="14"/>
        <v>0.88041666666666796</v>
      </c>
      <c r="M93" s="105">
        <f t="shared" si="15"/>
        <v>0.88562500000000133</v>
      </c>
      <c r="N93" s="38"/>
      <c r="O93" s="38" t="s">
        <v>256</v>
      </c>
      <c r="P93" s="38" t="s">
        <v>256</v>
      </c>
      <c r="Q93" s="38" t="s">
        <v>256</v>
      </c>
      <c r="R93" s="38"/>
      <c r="S93"/>
      <c r="T93" s="4"/>
      <c r="U93" s="4"/>
    </row>
    <row r="94" spans="1:21" s="5" customFormat="1" x14ac:dyDescent="0.2">
      <c r="A94" s="48" t="s">
        <v>279</v>
      </c>
      <c r="B94" s="52">
        <f t="shared" si="17"/>
        <v>8.9097222222223493E-2</v>
      </c>
      <c r="C94" s="52">
        <f>'[1]Day 5-F'!$C$66</f>
        <v>0.88562500000000133</v>
      </c>
      <c r="D94" s="50">
        <f t="shared" si="16"/>
        <v>9.8379629629630205E-3</v>
      </c>
      <c r="E94" s="52">
        <f t="shared" si="18"/>
        <v>0.89546296296296435</v>
      </c>
      <c r="F94" s="7" t="s">
        <v>823</v>
      </c>
      <c r="G94" s="18" t="s">
        <v>269</v>
      </c>
      <c r="H94" s="18"/>
      <c r="I94" s="18" t="s">
        <v>254</v>
      </c>
      <c r="J94" s="18" t="s">
        <v>785</v>
      </c>
      <c r="K94" s="18" t="s">
        <v>824</v>
      </c>
      <c r="L94" s="105">
        <f t="shared" si="14"/>
        <v>0.88562500000000133</v>
      </c>
      <c r="M94" s="105">
        <f t="shared" si="15"/>
        <v>0.89546296296296435</v>
      </c>
      <c r="N94" s="38"/>
      <c r="O94" s="38" t="s">
        <v>256</v>
      </c>
      <c r="P94" s="38" t="s">
        <v>256</v>
      </c>
      <c r="Q94" s="38" t="s">
        <v>256</v>
      </c>
      <c r="R94" s="38"/>
      <c r="S94"/>
      <c r="T94" s="4"/>
      <c r="U94" s="4"/>
    </row>
    <row r="95" spans="1:21" s="5" customFormat="1" x14ac:dyDescent="0.2">
      <c r="A95" s="48" t="s">
        <v>279</v>
      </c>
      <c r="B95" s="52">
        <f>C95-$C$74</f>
        <v>9.8935185185186514E-2</v>
      </c>
      <c r="C95" s="52">
        <f>'[1]Day 5-F'!$C$70</f>
        <v>0.89546296296296435</v>
      </c>
      <c r="D95" s="50">
        <f t="shared" si="16"/>
        <v>5.2083333333333703E-3</v>
      </c>
      <c r="E95" s="52">
        <f t="shared" si="18"/>
        <v>0.90067129629629772</v>
      </c>
      <c r="F95" s="34" t="s">
        <v>825</v>
      </c>
      <c r="G95" s="18" t="s">
        <v>269</v>
      </c>
      <c r="H95" s="18"/>
      <c r="I95" s="18" t="s">
        <v>254</v>
      </c>
      <c r="J95" s="18" t="s">
        <v>785</v>
      </c>
      <c r="K95" s="18" t="s">
        <v>826</v>
      </c>
      <c r="L95" s="105">
        <f>C95</f>
        <v>0.89546296296296435</v>
      </c>
      <c r="M95" s="105">
        <f>E95</f>
        <v>0.90067129629629772</v>
      </c>
      <c r="N95" s="38"/>
      <c r="O95" s="38" t="s">
        <v>256</v>
      </c>
      <c r="P95" s="38" t="s">
        <v>256</v>
      </c>
      <c r="Q95" s="38" t="s">
        <v>256</v>
      </c>
      <c r="R95" s="38"/>
      <c r="S95"/>
      <c r="T95" s="4"/>
      <c r="U95" s="4"/>
    </row>
    <row r="96" spans="1:21" s="5" customFormat="1" x14ac:dyDescent="0.2">
      <c r="A96" s="48" t="s">
        <v>279</v>
      </c>
      <c r="B96" s="52">
        <f t="shared" si="17"/>
        <v>0.10414351851851988</v>
      </c>
      <c r="C96" s="52">
        <f>'[1]Day 5-F'!$C$71</f>
        <v>0.90067129629629772</v>
      </c>
      <c r="D96" s="50">
        <f t="shared" si="16"/>
        <v>7.118055555555558E-3</v>
      </c>
      <c r="E96" s="52">
        <f t="shared" si="18"/>
        <v>0.90778935185185328</v>
      </c>
      <c r="F96" s="7" t="s">
        <v>827</v>
      </c>
      <c r="G96" s="18" t="s">
        <v>269</v>
      </c>
      <c r="H96" s="18"/>
      <c r="I96" s="18" t="s">
        <v>254</v>
      </c>
      <c r="J96" s="18" t="s">
        <v>785</v>
      </c>
      <c r="K96" s="89" t="s">
        <v>828</v>
      </c>
      <c r="L96" s="105">
        <f t="shared" si="14"/>
        <v>0.90067129629629772</v>
      </c>
      <c r="M96" s="105">
        <f t="shared" si="15"/>
        <v>0.90778935185185328</v>
      </c>
      <c r="N96" s="38"/>
      <c r="O96" s="38" t="s">
        <v>256</v>
      </c>
      <c r="P96" s="38" t="s">
        <v>256</v>
      </c>
      <c r="Q96" s="38" t="s">
        <v>256</v>
      </c>
      <c r="R96" s="38"/>
      <c r="S96"/>
      <c r="T96" s="4"/>
      <c r="U96" s="4"/>
    </row>
    <row r="97" spans="1:21" s="5" customFormat="1" x14ac:dyDescent="0.2">
      <c r="A97" s="48" t="s">
        <v>279</v>
      </c>
      <c r="B97" s="52">
        <f>C97-$C$74</f>
        <v>0.11126157407407544</v>
      </c>
      <c r="C97" s="52">
        <f>'[1]Day 5-F'!$C$75</f>
        <v>0.90778935185185328</v>
      </c>
      <c r="D97" s="50">
        <f t="shared" si="16"/>
        <v>5.2083333333333703E-3</v>
      </c>
      <c r="E97" s="52">
        <f t="shared" si="18"/>
        <v>0.91299768518518665</v>
      </c>
      <c r="F97" s="34" t="s">
        <v>829</v>
      </c>
      <c r="G97" s="18" t="s">
        <v>269</v>
      </c>
      <c r="H97" s="18"/>
      <c r="I97" s="18" t="s">
        <v>254</v>
      </c>
      <c r="J97" s="18" t="s">
        <v>785</v>
      </c>
      <c r="K97" s="18" t="s">
        <v>830</v>
      </c>
      <c r="L97" s="105">
        <f t="shared" si="14"/>
        <v>0.90778935185185328</v>
      </c>
      <c r="M97" s="105">
        <f t="shared" si="15"/>
        <v>0.91299768518518665</v>
      </c>
      <c r="N97" s="38"/>
      <c r="O97" s="38" t="s">
        <v>256</v>
      </c>
      <c r="P97" s="38" t="s">
        <v>256</v>
      </c>
      <c r="Q97" s="38" t="s">
        <v>256</v>
      </c>
      <c r="R97" s="38"/>
      <c r="S97"/>
      <c r="T97" s="4"/>
      <c r="U97" s="4"/>
    </row>
    <row r="98" spans="1:21" s="5" customFormat="1" x14ac:dyDescent="0.2">
      <c r="A98" s="48" t="s">
        <v>279</v>
      </c>
      <c r="B98" s="52">
        <f>C98-$C$74</f>
        <v>0.11646990740740881</v>
      </c>
      <c r="C98" s="52">
        <f>'[1]Day 5-F'!$C$76</f>
        <v>0.91299768518518665</v>
      </c>
      <c r="D98" s="50">
        <f>'[1]Day 5-F'!$C$77</f>
        <v>0.91924768518518662</v>
      </c>
      <c r="E98" s="52">
        <f t="shared" si="18"/>
        <v>0.91924768518518662</v>
      </c>
      <c r="F98" s="34" t="s">
        <v>831</v>
      </c>
      <c r="G98" s="18" t="s">
        <v>269</v>
      </c>
      <c r="H98" s="18"/>
      <c r="I98" s="18" t="s">
        <v>254</v>
      </c>
      <c r="J98" s="18" t="s">
        <v>785</v>
      </c>
      <c r="K98" s="18" t="s">
        <v>832</v>
      </c>
      <c r="L98" s="105">
        <f t="shared" si="14"/>
        <v>0.91299768518518665</v>
      </c>
      <c r="M98" s="105">
        <f t="shared" si="15"/>
        <v>0.91924768518518662</v>
      </c>
      <c r="N98" s="38"/>
      <c r="O98" s="38" t="s">
        <v>256</v>
      </c>
      <c r="P98" s="38" t="s">
        <v>256</v>
      </c>
      <c r="Q98" s="38" t="s">
        <v>256</v>
      </c>
      <c r="R98" s="38"/>
      <c r="S98"/>
      <c r="T98" s="4"/>
      <c r="U98" s="4"/>
    </row>
    <row r="99" spans="1:21" s="5" customFormat="1" x14ac:dyDescent="0.2">
      <c r="A99" s="48" t="s">
        <v>279</v>
      </c>
      <c r="B99" s="52">
        <f>C99-$C$74</f>
        <v>0.12271990740740879</v>
      </c>
      <c r="C99" s="52">
        <f>'[1]Day 5-F'!$C$77</f>
        <v>0.91924768518518662</v>
      </c>
      <c r="D99" s="50">
        <f>'[1]Day 5-F'!$C$78</f>
        <v>0.92028935185185334</v>
      </c>
      <c r="E99" s="52">
        <f t="shared" si="18"/>
        <v>0.92028935185185334</v>
      </c>
      <c r="F99" s="18" t="s">
        <v>357</v>
      </c>
      <c r="G99" s="18" t="s">
        <v>269</v>
      </c>
      <c r="H99" s="18"/>
      <c r="I99" s="18" t="s">
        <v>254</v>
      </c>
      <c r="J99" s="18" t="s">
        <v>785</v>
      </c>
      <c r="K99" s="37"/>
      <c r="L99" s="105">
        <f t="shared" si="14"/>
        <v>0.91924768518518662</v>
      </c>
      <c r="M99" s="105">
        <f t="shared" si="15"/>
        <v>0.92028935185185334</v>
      </c>
      <c r="N99" s="38"/>
      <c r="O99" s="38" t="s">
        <v>256</v>
      </c>
      <c r="P99" s="38" t="s">
        <v>256</v>
      </c>
      <c r="Q99" s="38" t="s">
        <v>256</v>
      </c>
      <c r="R99" s="38"/>
      <c r="S99"/>
      <c r="T99" s="4"/>
      <c r="U99" s="4"/>
    </row>
    <row r="100" spans="1:21" s="5" customFormat="1" x14ac:dyDescent="0.2">
      <c r="A100" s="48" t="s">
        <v>279</v>
      </c>
      <c r="B100" s="52">
        <f t="shared" si="17"/>
        <v>0.12376157407407551</v>
      </c>
      <c r="C100" s="52">
        <f>'[1]Day 5-F'!$C$78</f>
        <v>0.92028935185185334</v>
      </c>
      <c r="D100" s="50"/>
      <c r="E100" s="52"/>
      <c r="F100" s="20" t="s">
        <v>358</v>
      </c>
      <c r="G100" s="18" t="s">
        <v>269</v>
      </c>
      <c r="H100" s="18"/>
      <c r="I100" s="18" t="s">
        <v>254</v>
      </c>
      <c r="J100" s="18" t="s">
        <v>785</v>
      </c>
      <c r="K100" s="37"/>
      <c r="L100" s="105">
        <f t="shared" si="14"/>
        <v>0.92028935185185334</v>
      </c>
      <c r="M100" s="105"/>
      <c r="N100" s="38"/>
      <c r="O100" s="38" t="s">
        <v>256</v>
      </c>
      <c r="P100" s="38" t="s">
        <v>256</v>
      </c>
      <c r="Q100" s="38" t="s">
        <v>256</v>
      </c>
      <c r="R100" s="38"/>
      <c r="S100"/>
      <c r="T100" s="4"/>
      <c r="U100" s="4"/>
    </row>
    <row r="101" spans="1:21" s="5" customFormat="1" x14ac:dyDescent="0.2">
      <c r="A101" s="46"/>
      <c r="B101" s="46"/>
      <c r="C101" s="64">
        <v>0.92708333333333337</v>
      </c>
      <c r="D101" s="46"/>
      <c r="E101" s="55"/>
      <c r="F101" s="33" t="s">
        <v>62</v>
      </c>
      <c r="G101" s="45"/>
      <c r="H101" s="45"/>
      <c r="I101" s="45" t="s">
        <v>254</v>
      </c>
      <c r="J101" s="45" t="s">
        <v>785</v>
      </c>
      <c r="K101" s="45"/>
      <c r="L101" s="106">
        <f t="shared" si="14"/>
        <v>0.92708333333333337</v>
      </c>
      <c r="M101" s="109"/>
      <c r="N101" s="46"/>
      <c r="O101" s="46" t="s">
        <v>256</v>
      </c>
      <c r="P101" s="46" t="s">
        <v>256</v>
      </c>
      <c r="Q101" s="46" t="s">
        <v>256</v>
      </c>
      <c r="R101" s="46" t="s">
        <v>256</v>
      </c>
      <c r="S101"/>
      <c r="T101" s="4"/>
      <c r="U101" s="4"/>
    </row>
    <row r="102" spans="1:21" s="5" customFormat="1" x14ac:dyDescent="0.2">
      <c r="A102" s="48" t="s">
        <v>279</v>
      </c>
      <c r="B102" s="52">
        <f>C101-$C$74</f>
        <v>0.13055555555555554</v>
      </c>
      <c r="C102" s="52">
        <f>$C$101+TIME(0,0,0)</f>
        <v>0.92708333333333337</v>
      </c>
      <c r="D102" s="50">
        <f t="shared" si="16"/>
        <v>4.166666666666663E-2</v>
      </c>
      <c r="E102" s="52">
        <f>$C$101+TIME(1,0,0)</f>
        <v>0.96875</v>
      </c>
      <c r="F102" s="47" t="s">
        <v>359</v>
      </c>
      <c r="G102" s="18" t="s">
        <v>264</v>
      </c>
      <c r="H102" s="18"/>
      <c r="I102" s="18" t="s">
        <v>254</v>
      </c>
      <c r="J102" s="37"/>
      <c r="K102" s="37"/>
      <c r="L102" s="37"/>
      <c r="M102" s="37"/>
      <c r="N102" s="38"/>
      <c r="O102" s="38"/>
      <c r="P102" s="38"/>
      <c r="Q102" s="38"/>
      <c r="R102" s="38" t="s">
        <v>256</v>
      </c>
      <c r="S102"/>
      <c r="T102" s="4"/>
      <c r="U102" s="4"/>
    </row>
    <row r="103" spans="1:21" s="5" customFormat="1" x14ac:dyDescent="0.2">
      <c r="A103" s="48" t="s">
        <v>279</v>
      </c>
      <c r="B103" s="52">
        <f t="shared" ref="B103:B106" si="19">C102-$C$74</f>
        <v>0.13055555555555554</v>
      </c>
      <c r="C103" s="52">
        <v>0.93055555555555547</v>
      </c>
      <c r="D103" s="48"/>
      <c r="E103" s="52"/>
      <c r="F103" s="47" t="s">
        <v>65</v>
      </c>
      <c r="G103" s="18" t="s">
        <v>271</v>
      </c>
      <c r="H103" s="18"/>
      <c r="I103" s="18" t="s">
        <v>254</v>
      </c>
      <c r="J103" s="37"/>
      <c r="K103" s="37"/>
      <c r="L103" s="37"/>
      <c r="M103" s="37"/>
      <c r="N103" s="38"/>
      <c r="O103" s="38"/>
      <c r="P103" s="38"/>
      <c r="Q103" s="38"/>
      <c r="R103" s="38" t="s">
        <v>256</v>
      </c>
      <c r="S103"/>
      <c r="T103" s="4"/>
      <c r="U103" s="4"/>
    </row>
    <row r="104" spans="1:21" s="5" customFormat="1" x14ac:dyDescent="0.2">
      <c r="A104" s="48" t="s">
        <v>279</v>
      </c>
      <c r="B104" s="52">
        <f t="shared" si="19"/>
        <v>0.13402777777777763</v>
      </c>
      <c r="C104" s="52">
        <v>0.9375</v>
      </c>
      <c r="D104" s="48"/>
      <c r="E104" s="52"/>
      <c r="F104" s="62" t="s">
        <v>411</v>
      </c>
      <c r="G104" s="18" t="s">
        <v>261</v>
      </c>
      <c r="H104" s="18"/>
      <c r="I104" s="18" t="s">
        <v>254</v>
      </c>
      <c r="J104" s="37"/>
      <c r="K104" s="37"/>
      <c r="L104" s="37"/>
      <c r="M104" s="37"/>
      <c r="N104" s="38"/>
      <c r="O104" s="38"/>
      <c r="P104" s="38"/>
      <c r="Q104" s="38"/>
      <c r="R104" s="38" t="s">
        <v>256</v>
      </c>
      <c r="S104"/>
      <c r="T104" s="4"/>
      <c r="U104" s="4"/>
    </row>
    <row r="105" spans="1:21" s="5" customFormat="1" x14ac:dyDescent="0.2">
      <c r="A105" s="48" t="s">
        <v>279</v>
      </c>
      <c r="B105" s="52">
        <f t="shared" si="19"/>
        <v>0.14097222222222217</v>
      </c>
      <c r="C105" s="52">
        <f>$C$101+TIME(0,45,0)</f>
        <v>0.95833333333333337</v>
      </c>
      <c r="D105" s="48"/>
      <c r="E105" s="52"/>
      <c r="F105" s="18" t="s">
        <v>362</v>
      </c>
      <c r="G105" s="18" t="s">
        <v>271</v>
      </c>
      <c r="H105" s="18"/>
      <c r="I105" s="18" t="s">
        <v>254</v>
      </c>
      <c r="J105" s="37"/>
      <c r="K105" s="37"/>
      <c r="L105" s="37"/>
      <c r="M105" s="37"/>
      <c r="N105" s="38"/>
      <c r="O105" s="38"/>
      <c r="P105" s="38"/>
      <c r="Q105" s="38"/>
      <c r="R105" s="38" t="s">
        <v>256</v>
      </c>
      <c r="S105"/>
      <c r="T105" s="4"/>
      <c r="U105" s="4"/>
    </row>
    <row r="106" spans="1:21" s="5" customFormat="1" x14ac:dyDescent="0.2">
      <c r="A106" s="48" t="s">
        <v>279</v>
      </c>
      <c r="B106" s="52">
        <f t="shared" si="19"/>
        <v>0.16180555555555554</v>
      </c>
      <c r="C106" s="52">
        <f>$C$101+TIME(1,20,0)</f>
        <v>0.98263888888888895</v>
      </c>
      <c r="D106" s="48"/>
      <c r="E106" s="52"/>
      <c r="F106" s="47" t="s">
        <v>412</v>
      </c>
      <c r="G106" s="18"/>
      <c r="H106" s="18"/>
      <c r="I106" s="18" t="s">
        <v>254</v>
      </c>
      <c r="J106" s="37"/>
      <c r="K106" s="37"/>
      <c r="L106" s="37"/>
      <c r="M106" s="37"/>
      <c r="N106" s="38"/>
      <c r="O106" s="38"/>
      <c r="P106" s="38"/>
      <c r="Q106" s="38"/>
      <c r="R106" s="38"/>
      <c r="S106"/>
      <c r="T106" s="4"/>
      <c r="U106" s="4"/>
    </row>
    <row r="107" spans="1:21" s="5" customFormat="1" x14ac:dyDescent="0.2">
      <c r="A107" s="48" t="s">
        <v>279</v>
      </c>
      <c r="B107" s="52">
        <f>C106-$C$74</f>
        <v>0.18611111111111112</v>
      </c>
      <c r="C107" s="52">
        <f>$C$101+TIME(1,30,0)</f>
        <v>0.98958333333333337</v>
      </c>
      <c r="D107" s="48"/>
      <c r="E107" s="52"/>
      <c r="F107" s="20" t="s">
        <v>67</v>
      </c>
      <c r="G107" s="18"/>
      <c r="H107" s="18"/>
      <c r="I107" s="18" t="s">
        <v>254</v>
      </c>
      <c r="J107" s="37"/>
      <c r="K107" s="37"/>
      <c r="L107" s="37"/>
      <c r="M107" s="37"/>
      <c r="N107" s="38"/>
      <c r="O107" s="38"/>
      <c r="P107" s="38"/>
      <c r="Q107" s="38"/>
      <c r="R107" s="38" t="s">
        <v>256</v>
      </c>
      <c r="S107"/>
      <c r="T107" s="4"/>
      <c r="U107" s="4"/>
    </row>
    <row r="108" spans="1:21" s="5" customFormat="1" x14ac:dyDescent="0.2">
      <c r="A108" s="48" t="s">
        <v>279</v>
      </c>
      <c r="B108" s="52">
        <f t="shared" ref="B108:B111" si="20">C107-$C$74</f>
        <v>0.19305555555555554</v>
      </c>
      <c r="C108" s="52">
        <v>0</v>
      </c>
      <c r="D108" s="48"/>
      <c r="E108" s="52"/>
      <c r="F108" s="47" t="s">
        <v>361</v>
      </c>
      <c r="G108" s="18"/>
      <c r="H108" s="18"/>
      <c r="I108" s="18" t="s">
        <v>254</v>
      </c>
      <c r="J108" s="37"/>
      <c r="K108" s="37"/>
      <c r="L108" s="37"/>
      <c r="M108" s="37"/>
      <c r="N108" s="38"/>
      <c r="O108" s="38"/>
      <c r="P108" s="38"/>
      <c r="Q108" s="38"/>
      <c r="R108" s="38"/>
      <c r="S108"/>
      <c r="T108" s="4"/>
      <c r="U108" s="4"/>
    </row>
    <row r="109" spans="1:21" s="5" customFormat="1" x14ac:dyDescent="0.2">
      <c r="A109" s="48" t="s">
        <v>279</v>
      </c>
      <c r="B109" s="52">
        <f t="shared" si="20"/>
        <v>-0.79652777777777783</v>
      </c>
      <c r="C109" s="98">
        <v>1.0416666666666666E-2</v>
      </c>
      <c r="D109" s="48"/>
      <c r="E109" s="52"/>
      <c r="F109" s="47" t="s">
        <v>413</v>
      </c>
      <c r="G109" s="18"/>
      <c r="H109" s="18"/>
      <c r="I109" s="18" t="s">
        <v>254</v>
      </c>
      <c r="J109" s="37"/>
      <c r="K109" s="37"/>
      <c r="L109" s="37"/>
      <c r="M109" s="37"/>
      <c r="N109" s="38"/>
      <c r="O109" s="38"/>
      <c r="P109" s="38"/>
      <c r="Q109" s="38"/>
      <c r="R109" s="38"/>
      <c r="S109"/>
      <c r="T109" s="4"/>
      <c r="U109" s="4"/>
    </row>
    <row r="110" spans="1:21" s="5" customFormat="1" x14ac:dyDescent="0.2">
      <c r="A110" s="48" t="s">
        <v>279</v>
      </c>
      <c r="B110" s="52">
        <f t="shared" si="20"/>
        <v>-0.7861111111111112</v>
      </c>
      <c r="C110" s="52">
        <v>1</v>
      </c>
      <c r="D110" s="48"/>
      <c r="E110" s="52"/>
      <c r="F110" s="18" t="s">
        <v>414</v>
      </c>
      <c r="G110" s="18"/>
      <c r="H110" s="18"/>
      <c r="I110" s="18" t="s">
        <v>254</v>
      </c>
      <c r="J110" s="37"/>
      <c r="K110" s="37"/>
      <c r="L110" s="37"/>
      <c r="M110" s="37"/>
      <c r="N110" s="38"/>
      <c r="O110" s="38"/>
      <c r="P110" s="38"/>
      <c r="Q110" s="38"/>
      <c r="R110" s="38" t="s">
        <v>256</v>
      </c>
      <c r="S110"/>
      <c r="T110" s="4"/>
      <c r="U110" s="4"/>
    </row>
    <row r="111" spans="1:21" s="5" customFormat="1" x14ac:dyDescent="0.2">
      <c r="A111" s="48" t="s">
        <v>279</v>
      </c>
      <c r="B111" s="52">
        <f t="shared" si="20"/>
        <v>0.20347222222222217</v>
      </c>
      <c r="C111" s="52">
        <v>2.0833333333333332E-2</v>
      </c>
      <c r="D111" s="48"/>
      <c r="E111" s="52"/>
      <c r="F111" s="18" t="s">
        <v>415</v>
      </c>
      <c r="G111" s="18"/>
      <c r="H111" s="18"/>
      <c r="I111" s="18" t="s">
        <v>254</v>
      </c>
      <c r="J111" s="37"/>
      <c r="K111" s="37"/>
      <c r="L111" s="37"/>
      <c r="M111" s="37"/>
      <c r="N111" s="38"/>
      <c r="O111" s="38"/>
      <c r="P111" s="38"/>
      <c r="Q111" s="38"/>
      <c r="R111" s="38" t="s">
        <v>256</v>
      </c>
      <c r="S111"/>
      <c r="T111" s="4"/>
      <c r="U111" s="4"/>
    </row>
    <row r="112" spans="1:21" s="5" customFormat="1" x14ac:dyDescent="0.2">
      <c r="A112" s="2"/>
      <c r="B112" s="2"/>
      <c r="C112" s="56"/>
      <c r="D112" s="2"/>
      <c r="E112" s="56"/>
      <c r="F112"/>
      <c r="G112"/>
      <c r="H112"/>
      <c r="I112"/>
      <c r="J112"/>
      <c r="K112"/>
      <c r="L112"/>
      <c r="M112"/>
      <c r="N112" s="2"/>
      <c r="O112" s="2"/>
      <c r="P112" s="2"/>
      <c r="Q112" s="2"/>
      <c r="R112" s="2"/>
      <c r="S112"/>
      <c r="T112" s="4"/>
      <c r="U112" s="4"/>
    </row>
    <row r="113" spans="1:21" s="5" customFormat="1" x14ac:dyDescent="0.2">
      <c r="A113" s="2"/>
      <c r="B113" s="2"/>
      <c r="C113" s="56"/>
      <c r="D113" s="2"/>
      <c r="E113" s="56"/>
      <c r="F113"/>
      <c r="G113"/>
      <c r="H113"/>
      <c r="I113"/>
      <c r="J113"/>
      <c r="K113"/>
      <c r="L113"/>
      <c r="M113"/>
      <c r="N113" s="2"/>
      <c r="O113" s="2"/>
      <c r="P113" s="2"/>
      <c r="Q113" s="2"/>
      <c r="R113" s="2"/>
      <c r="S113"/>
      <c r="T113" s="4"/>
      <c r="U113" s="4"/>
    </row>
    <row r="114" spans="1:21" s="5" customFormat="1" x14ac:dyDescent="0.2">
      <c r="A114" s="2"/>
      <c r="B114" s="2"/>
      <c r="C114" s="56"/>
      <c r="D114" s="2"/>
      <c r="E114" s="56"/>
      <c r="F114"/>
      <c r="G114"/>
      <c r="H114"/>
      <c r="I114"/>
      <c r="J114"/>
      <c r="K114"/>
      <c r="L114"/>
      <c r="M114"/>
      <c r="N114" s="2"/>
      <c r="O114" s="2"/>
      <c r="P114" s="2"/>
      <c r="Q114" s="2"/>
      <c r="R114" s="2"/>
      <c r="S114"/>
      <c r="T114" s="4"/>
      <c r="U114" s="4"/>
    </row>
    <row r="115" spans="1:21" s="5" customFormat="1" x14ac:dyDescent="0.2">
      <c r="A115" s="2"/>
      <c r="B115" s="2"/>
      <c r="C115" s="56"/>
      <c r="D115" s="2"/>
      <c r="E115" s="56"/>
      <c r="F115"/>
      <c r="G115"/>
      <c r="H115"/>
      <c r="I115"/>
      <c r="J115"/>
      <c r="K115"/>
      <c r="L115"/>
      <c r="M115"/>
      <c r="N115" s="2"/>
      <c r="O115" s="2"/>
      <c r="P115" s="2"/>
      <c r="Q115" s="2"/>
      <c r="R115" s="2"/>
      <c r="S115"/>
      <c r="T115" s="4"/>
      <c r="U115" s="4"/>
    </row>
    <row r="116" spans="1:21" s="5" customFormat="1" x14ac:dyDescent="0.2">
      <c r="A116" s="2"/>
      <c r="B116" s="2"/>
      <c r="C116" s="56"/>
      <c r="D116" s="2"/>
      <c r="E116" s="56"/>
      <c r="F116"/>
      <c r="G116"/>
      <c r="H116"/>
      <c r="I116"/>
      <c r="J116"/>
      <c r="K116"/>
      <c r="L116"/>
      <c r="M116"/>
      <c r="N116" s="2"/>
      <c r="O116" s="2"/>
      <c r="P116" s="2"/>
      <c r="Q116" s="2"/>
      <c r="R116" s="2"/>
      <c r="S116"/>
      <c r="T116" s="4"/>
      <c r="U116" s="4"/>
    </row>
    <row r="117" spans="1:21" s="5" customFormat="1" x14ac:dyDescent="0.2">
      <c r="A117" s="2"/>
      <c r="B117" s="68"/>
      <c r="C117" s="67"/>
      <c r="D117" s="68"/>
      <c r="E117" s="67"/>
      <c r="F117"/>
      <c r="G117"/>
      <c r="H117"/>
      <c r="I117"/>
      <c r="J117"/>
      <c r="K117"/>
      <c r="L117"/>
      <c r="M117"/>
      <c r="N117" s="2"/>
      <c r="O117" s="2"/>
      <c r="P117" s="2"/>
      <c r="Q117" s="2"/>
      <c r="R117" s="2"/>
      <c r="S117"/>
      <c r="T117" s="4"/>
      <c r="U117" s="4"/>
    </row>
    <row r="118" spans="1:21" s="5" customFormat="1" x14ac:dyDescent="0.2">
      <c r="A118" s="2"/>
      <c r="B118" s="68"/>
      <c r="C118" s="67"/>
      <c r="D118" s="68"/>
      <c r="E118" s="67"/>
      <c r="F118"/>
      <c r="G118"/>
      <c r="H118"/>
      <c r="I118"/>
      <c r="J118"/>
      <c r="K118"/>
      <c r="L118"/>
      <c r="M118"/>
      <c r="N118" s="2"/>
      <c r="O118" s="2"/>
      <c r="P118" s="2"/>
      <c r="Q118" s="2"/>
      <c r="R118" s="2"/>
      <c r="S118"/>
      <c r="T118" s="4"/>
      <c r="U118" s="4"/>
    </row>
    <row r="119" spans="1:21" s="5" customFormat="1" x14ac:dyDescent="0.2">
      <c r="A119" s="2"/>
      <c r="B119" s="68"/>
      <c r="C119" s="67"/>
      <c r="D119" s="68"/>
      <c r="E119" s="67"/>
      <c r="F119"/>
      <c r="G119"/>
      <c r="H119"/>
      <c r="I119"/>
      <c r="J119"/>
      <c r="K119"/>
      <c r="L119"/>
      <c r="M119"/>
      <c r="N119" s="2"/>
      <c r="O119" s="2"/>
      <c r="P119" s="2"/>
      <c r="Q119" s="2"/>
      <c r="R119" s="2"/>
      <c r="S119"/>
      <c r="T119" s="4"/>
      <c r="U119" s="4"/>
    </row>
    <row r="120" spans="1:21" s="5" customFormat="1" x14ac:dyDescent="0.2">
      <c r="A120" s="2"/>
      <c r="B120" s="68"/>
      <c r="C120" s="67"/>
      <c r="D120" s="68"/>
      <c r="E120" s="67"/>
      <c r="F120"/>
      <c r="G120"/>
      <c r="H120"/>
      <c r="I120"/>
      <c r="J120"/>
      <c r="K120"/>
      <c r="L120"/>
      <c r="M120"/>
      <c r="N120" s="2"/>
      <c r="O120" s="2"/>
      <c r="P120" s="2"/>
      <c r="Q120" s="2"/>
      <c r="R120" s="2"/>
      <c r="S120"/>
      <c r="T120" s="4"/>
      <c r="U120" s="4"/>
    </row>
    <row r="121" spans="1:21" s="5" customFormat="1" x14ac:dyDescent="0.2">
      <c r="A121" s="2"/>
      <c r="B121" s="68"/>
      <c r="C121" s="67"/>
      <c r="D121" s="68"/>
      <c r="E121" s="67"/>
      <c r="F121"/>
      <c r="G121"/>
      <c r="H121"/>
      <c r="I121"/>
      <c r="J121"/>
      <c r="K121"/>
      <c r="L121"/>
      <c r="M121"/>
      <c r="N121" s="2"/>
      <c r="O121" s="2"/>
      <c r="P121" s="2"/>
      <c r="Q121" s="2"/>
      <c r="R121" s="2"/>
      <c r="S121"/>
      <c r="T121" s="4"/>
      <c r="U121" s="4"/>
    </row>
    <row r="122" spans="1:21" s="5" customFormat="1" x14ac:dyDescent="0.2">
      <c r="A122" s="2"/>
      <c r="B122" s="68"/>
      <c r="C122" s="67"/>
      <c r="D122" s="68"/>
      <c r="E122" s="67"/>
      <c r="F122"/>
      <c r="G122"/>
      <c r="H122"/>
      <c r="I122"/>
      <c r="J122"/>
      <c r="K122"/>
      <c r="L122"/>
      <c r="M122"/>
      <c r="N122" s="2"/>
      <c r="O122" s="2"/>
      <c r="P122" s="2"/>
      <c r="Q122" s="2"/>
      <c r="R122" s="2"/>
      <c r="S122"/>
      <c r="T122" s="4"/>
      <c r="U122" s="4"/>
    </row>
    <row r="123" spans="1:21" s="5" customFormat="1" x14ac:dyDescent="0.2">
      <c r="A123" s="2"/>
      <c r="B123" s="2"/>
      <c r="C123" s="56"/>
      <c r="D123" s="2"/>
      <c r="E123" s="56"/>
      <c r="F123"/>
      <c r="G123"/>
      <c r="H123"/>
      <c r="I123"/>
      <c r="J123"/>
      <c r="K123"/>
      <c r="L123"/>
      <c r="M123"/>
      <c r="N123" s="2"/>
      <c r="O123" s="2"/>
      <c r="P123" s="2"/>
      <c r="Q123" s="2"/>
      <c r="R123" s="2"/>
      <c r="S123"/>
      <c r="T123" s="4"/>
      <c r="U123" s="4"/>
    </row>
    <row r="124" spans="1:21" s="5" customFormat="1" x14ac:dyDescent="0.2">
      <c r="A124" s="2"/>
      <c r="B124" s="2"/>
      <c r="C124" s="56"/>
      <c r="D124" s="2"/>
      <c r="E124" s="56"/>
      <c r="F124"/>
      <c r="G124"/>
      <c r="H124"/>
      <c r="I124"/>
      <c r="J124"/>
      <c r="K124"/>
      <c r="L124"/>
      <c r="M124"/>
      <c r="N124" s="2"/>
      <c r="O124" s="2"/>
      <c r="P124" s="2"/>
      <c r="Q124" s="2"/>
      <c r="R124" s="2"/>
      <c r="S124"/>
      <c r="T124" s="4"/>
      <c r="U124" s="4"/>
    </row>
    <row r="125" spans="1:21" s="5" customFormat="1" x14ac:dyDescent="0.2">
      <c r="A125" s="2"/>
      <c r="B125" s="2"/>
      <c r="C125" s="56"/>
      <c r="D125" s="2"/>
      <c r="E125" s="56"/>
      <c r="F125"/>
      <c r="G125"/>
      <c r="H125"/>
      <c r="I125"/>
      <c r="J125"/>
      <c r="K125"/>
      <c r="L125"/>
      <c r="M125"/>
      <c r="N125" s="2"/>
      <c r="O125" s="2"/>
      <c r="P125" s="2"/>
      <c r="Q125" s="2"/>
      <c r="R125" s="2"/>
      <c r="S125"/>
      <c r="T125" s="4"/>
      <c r="U125" s="4"/>
    </row>
    <row r="126" spans="1:21" s="5" customFormat="1" x14ac:dyDescent="0.2">
      <c r="A126" s="2"/>
      <c r="B126" s="2"/>
      <c r="C126" s="56"/>
      <c r="D126" s="2"/>
      <c r="E126" s="56"/>
      <c r="F126"/>
      <c r="G126"/>
      <c r="H126"/>
      <c r="I126"/>
      <c r="J126"/>
      <c r="K126"/>
      <c r="L126"/>
      <c r="M126"/>
      <c r="N126" s="2"/>
      <c r="O126" s="2"/>
      <c r="P126" s="2"/>
      <c r="Q126" s="2"/>
      <c r="R126" s="2"/>
      <c r="S126"/>
      <c r="T126" s="4"/>
      <c r="U126" s="4"/>
    </row>
    <row r="127" spans="1:21" s="5" customFormat="1" x14ac:dyDescent="0.2">
      <c r="A127" s="2"/>
      <c r="B127" s="2"/>
      <c r="C127" s="56"/>
      <c r="D127" s="2"/>
      <c r="E127" s="56"/>
      <c r="F127"/>
      <c r="G127"/>
      <c r="H127"/>
      <c r="I127"/>
      <c r="J127"/>
      <c r="K127"/>
      <c r="L127"/>
      <c r="M127"/>
      <c r="N127" s="2"/>
      <c r="O127" s="2"/>
      <c r="P127" s="2"/>
      <c r="Q127" s="2"/>
      <c r="R127" s="2"/>
      <c r="S127"/>
      <c r="T127" s="4"/>
      <c r="U127" s="4"/>
    </row>
    <row r="128" spans="1:21" s="5" customFormat="1" x14ac:dyDescent="0.2">
      <c r="A128" s="2"/>
      <c r="B128" s="2"/>
      <c r="C128" s="56"/>
      <c r="D128" s="2"/>
      <c r="E128" s="56"/>
      <c r="F128"/>
      <c r="G128"/>
      <c r="H128"/>
      <c r="I128"/>
      <c r="J128"/>
      <c r="K128"/>
      <c r="L128"/>
      <c r="M128"/>
      <c r="N128" s="2"/>
      <c r="O128" s="2"/>
      <c r="P128" s="2"/>
      <c r="Q128" s="2"/>
      <c r="R128" s="2"/>
      <c r="S128"/>
      <c r="T128" s="4"/>
      <c r="U128" s="4"/>
    </row>
    <row r="129" spans="1:21" s="5" customFormat="1" x14ac:dyDescent="0.2">
      <c r="A129" s="2"/>
      <c r="B129" s="2"/>
      <c r="C129" s="56"/>
      <c r="D129" s="2"/>
      <c r="E129" s="56"/>
      <c r="F129"/>
      <c r="G129"/>
      <c r="H129"/>
      <c r="I129"/>
      <c r="J129"/>
      <c r="K129"/>
      <c r="L129"/>
      <c r="M129"/>
      <c r="N129" s="2"/>
      <c r="O129" s="2"/>
      <c r="P129" s="2"/>
      <c r="Q129" s="2"/>
      <c r="R129" s="2"/>
      <c r="S129"/>
      <c r="T129" s="4"/>
      <c r="U129" s="4"/>
    </row>
    <row r="130" spans="1:21" s="5" customFormat="1" x14ac:dyDescent="0.2">
      <c r="A130" s="2"/>
      <c r="B130" s="2"/>
      <c r="C130" s="56"/>
      <c r="D130" s="2"/>
      <c r="E130" s="56"/>
      <c r="F130"/>
      <c r="G130"/>
      <c r="H130"/>
      <c r="I130"/>
      <c r="J130"/>
      <c r="K130"/>
      <c r="L130"/>
      <c r="M130"/>
      <c r="N130" s="2"/>
      <c r="O130" s="2"/>
      <c r="P130" s="2"/>
      <c r="Q130" s="2"/>
      <c r="R130" s="2"/>
      <c r="S130"/>
      <c r="T130" s="4"/>
      <c r="U130" s="4"/>
    </row>
    <row r="131" spans="1:21" s="5" customFormat="1" x14ac:dyDescent="0.2">
      <c r="A131" s="2"/>
      <c r="B131" s="2"/>
      <c r="C131" s="56"/>
      <c r="D131" s="2"/>
      <c r="E131" s="56"/>
      <c r="F131"/>
      <c r="G131"/>
      <c r="H131"/>
      <c r="I131"/>
      <c r="J131"/>
      <c r="K131"/>
      <c r="L131"/>
      <c r="M131"/>
      <c r="N131" s="2"/>
      <c r="O131" s="2"/>
      <c r="P131" s="2"/>
      <c r="Q131" s="2"/>
      <c r="R131" s="2"/>
      <c r="S131"/>
      <c r="T131" s="4"/>
      <c r="U131" s="4"/>
    </row>
    <row r="132" spans="1:21" s="5" customFormat="1" x14ac:dyDescent="0.2">
      <c r="A132" s="2"/>
      <c r="B132" s="2"/>
      <c r="C132" s="56"/>
      <c r="D132" s="2"/>
      <c r="E132" s="56"/>
      <c r="F132"/>
      <c r="G132"/>
      <c r="H132"/>
      <c r="I132"/>
      <c r="J132"/>
      <c r="K132"/>
      <c r="L132"/>
      <c r="M132"/>
      <c r="N132" s="2"/>
      <c r="O132" s="2"/>
      <c r="P132" s="2"/>
      <c r="Q132" s="2"/>
      <c r="R132" s="2"/>
      <c r="S132"/>
      <c r="T132" s="4"/>
      <c r="U132" s="4"/>
    </row>
    <row r="133" spans="1:21" s="5" customFormat="1" x14ac:dyDescent="0.2">
      <c r="A133" s="2"/>
      <c r="B133" s="2"/>
      <c r="C133" s="56"/>
      <c r="D133" s="2"/>
      <c r="E133" s="56"/>
      <c r="F133"/>
      <c r="G133"/>
      <c r="H133"/>
      <c r="I133"/>
      <c r="J133"/>
      <c r="K133"/>
      <c r="L133"/>
      <c r="M133"/>
      <c r="N133" s="2"/>
      <c r="O133" s="2"/>
      <c r="P133" s="2"/>
      <c r="Q133" s="2"/>
      <c r="R133" s="2"/>
      <c r="S133"/>
      <c r="T133" s="4"/>
      <c r="U133" s="4"/>
    </row>
    <row r="134" spans="1:21" s="5" customFormat="1" x14ac:dyDescent="0.2">
      <c r="A134" s="2"/>
      <c r="B134" s="2"/>
      <c r="C134" s="56"/>
      <c r="D134" s="2"/>
      <c r="E134" s="56"/>
      <c r="F134"/>
      <c r="G134"/>
      <c r="H134"/>
      <c r="I134"/>
      <c r="J134"/>
      <c r="K134"/>
      <c r="L134"/>
      <c r="M134"/>
      <c r="N134" s="2"/>
      <c r="O134" s="2"/>
      <c r="P134" s="2"/>
      <c r="Q134" s="2"/>
      <c r="R134" s="2"/>
      <c r="S134"/>
      <c r="T134" s="4"/>
      <c r="U134" s="4"/>
    </row>
    <row r="135" spans="1:21" s="5" customFormat="1" x14ac:dyDescent="0.2">
      <c r="A135" s="2"/>
      <c r="B135" s="2"/>
      <c r="C135" s="56"/>
      <c r="D135" s="2"/>
      <c r="E135" s="56"/>
      <c r="F135"/>
      <c r="G135"/>
      <c r="H135"/>
      <c r="I135"/>
      <c r="J135"/>
      <c r="K135"/>
      <c r="L135"/>
      <c r="M135"/>
      <c r="N135" s="2"/>
      <c r="O135" s="2"/>
      <c r="P135" s="2"/>
      <c r="Q135" s="2"/>
      <c r="R135" s="2"/>
      <c r="S135"/>
      <c r="T135" s="4"/>
      <c r="U135" s="4"/>
    </row>
    <row r="136" spans="1:21" s="5" customFormat="1" x14ac:dyDescent="0.2">
      <c r="A136" s="2"/>
      <c r="B136" s="2"/>
      <c r="C136" s="56"/>
      <c r="D136" s="2"/>
      <c r="E136" s="56"/>
      <c r="F136"/>
      <c r="G136"/>
      <c r="H136"/>
      <c r="I136"/>
      <c r="J136"/>
      <c r="K136"/>
      <c r="L136"/>
      <c r="M136"/>
      <c r="N136" s="2"/>
      <c r="O136" s="2"/>
      <c r="P136" s="2"/>
      <c r="Q136" s="2"/>
      <c r="R136" s="2"/>
      <c r="S136"/>
      <c r="T136" s="4"/>
      <c r="U136" s="4"/>
    </row>
    <row r="137" spans="1:21" s="5" customFormat="1" x14ac:dyDescent="0.2">
      <c r="A137" s="2"/>
      <c r="B137" s="2"/>
      <c r="C137" s="56"/>
      <c r="D137" s="2"/>
      <c r="E137" s="56"/>
      <c r="F137"/>
      <c r="G137"/>
      <c r="H137"/>
      <c r="I137"/>
      <c r="J137"/>
      <c r="K137"/>
      <c r="L137"/>
      <c r="M137"/>
      <c r="N137" s="2"/>
      <c r="O137" s="2"/>
      <c r="P137" s="2"/>
      <c r="Q137" s="2"/>
      <c r="R137" s="2"/>
      <c r="S137"/>
      <c r="T137" s="4"/>
      <c r="U137" s="4"/>
    </row>
    <row r="138" spans="1:21" s="5" customFormat="1" x14ac:dyDescent="0.2">
      <c r="A138" s="2"/>
      <c r="B138" s="2"/>
      <c r="C138" s="56"/>
      <c r="D138" s="2"/>
      <c r="E138" s="56"/>
      <c r="F138"/>
      <c r="G138"/>
      <c r="H138"/>
      <c r="I138"/>
      <c r="J138"/>
      <c r="K138"/>
      <c r="L138"/>
      <c r="M138"/>
      <c r="N138" s="2"/>
      <c r="O138" s="2"/>
      <c r="P138" s="2"/>
      <c r="Q138" s="2"/>
      <c r="R138" s="2"/>
      <c r="S138"/>
      <c r="T138" s="4"/>
      <c r="U138" s="4"/>
    </row>
    <row r="139" spans="1:21" s="5" customFormat="1" x14ac:dyDescent="0.2">
      <c r="A139" s="2"/>
      <c r="B139" s="2"/>
      <c r="C139" s="56"/>
      <c r="D139" s="2"/>
      <c r="E139" s="56"/>
      <c r="F139"/>
      <c r="G139"/>
      <c r="H139"/>
      <c r="I139"/>
      <c r="J139"/>
      <c r="K139"/>
      <c r="L139"/>
      <c r="M139"/>
      <c r="N139" s="2"/>
      <c r="O139" s="2"/>
      <c r="P139" s="2"/>
      <c r="Q139" s="2"/>
      <c r="R139" s="2"/>
      <c r="S139"/>
      <c r="T139" s="4"/>
      <c r="U139" s="4"/>
    </row>
    <row r="140" spans="1:21" s="5" customFormat="1" x14ac:dyDescent="0.2">
      <c r="A140" s="2"/>
      <c r="B140" s="2"/>
      <c r="C140" s="56"/>
      <c r="D140" s="2"/>
      <c r="E140" s="56"/>
      <c r="F140"/>
      <c r="G140"/>
      <c r="H140"/>
      <c r="I140"/>
      <c r="J140"/>
      <c r="K140"/>
      <c r="L140"/>
      <c r="M140"/>
      <c r="N140" s="2"/>
      <c r="O140" s="2"/>
      <c r="P140" s="2"/>
      <c r="Q140" s="2"/>
      <c r="R140" s="2"/>
      <c r="S140"/>
      <c r="T140" s="4"/>
      <c r="U140" s="4"/>
    </row>
    <row r="141" spans="1:21" s="5" customFormat="1" x14ac:dyDescent="0.2">
      <c r="A141" s="2"/>
      <c r="B141" s="2"/>
      <c r="C141" s="56"/>
      <c r="D141" s="2"/>
      <c r="E141" s="56"/>
      <c r="F141"/>
      <c r="G141"/>
      <c r="H141"/>
      <c r="I141"/>
      <c r="J141"/>
      <c r="K141"/>
      <c r="L141"/>
      <c r="M141"/>
      <c r="N141" s="2"/>
      <c r="O141" s="2"/>
      <c r="P141" s="2"/>
      <c r="Q141" s="2"/>
      <c r="R141" s="2"/>
      <c r="S141"/>
      <c r="T141" s="4"/>
      <c r="U141" s="4"/>
    </row>
    <row r="142" spans="1:21" s="5" customFormat="1" x14ac:dyDescent="0.2">
      <c r="A142" s="2"/>
      <c r="B142" s="2"/>
      <c r="C142" s="56"/>
      <c r="D142" s="2"/>
      <c r="E142" s="56"/>
      <c r="F142"/>
      <c r="G142"/>
      <c r="H142"/>
      <c r="I142"/>
      <c r="J142"/>
      <c r="K142"/>
      <c r="L142"/>
      <c r="M142"/>
      <c r="N142" s="2"/>
      <c r="O142" s="2"/>
      <c r="P142" s="2"/>
      <c r="Q142" s="2"/>
      <c r="R142" s="2"/>
      <c r="S142"/>
      <c r="T142" s="4"/>
      <c r="U142" s="4"/>
    </row>
  </sheetData>
  <sheetProtection selectLockedCells="1"/>
  <autoFilter ref="B3:R3" xr:uid="{7C6FC6D5-AAC8-4523-858D-0892689D2677}"/>
  <mergeCells count="9">
    <mergeCell ref="B1:R1"/>
    <mergeCell ref="A2:E2"/>
    <mergeCell ref="F2:F3"/>
    <mergeCell ref="G2:G3"/>
    <mergeCell ref="H2:H3"/>
    <mergeCell ref="I2:I3"/>
    <mergeCell ref="J2:J3"/>
    <mergeCell ref="K2:N2"/>
    <mergeCell ref="O2:R2"/>
  </mergeCells>
  <phoneticPr fontId="2" type="noConversion"/>
  <dataValidations disablePrompts="1" count="1">
    <dataValidation type="list" allowBlank="1" showInputMessage="1" showErrorMessage="1" sqref="T3" xr:uid="{3AEBEF42-DCB2-4615-BF8E-4B4BCBA17F84}">
      <formula1>"SCM,BRD,CER"</formula1>
    </dataValidation>
  </dataValidations>
  <pageMargins left="0.7" right="0.7" top="0.75" bottom="0.75" header="0.3" footer="0.3"/>
  <pageSetup paperSize="8" scale="63" fitToHeight="0" orientation="landscape" r:id="rId1"/>
  <headerFooter>
    <oddHeader>&amp;C&amp;"Calibri"&amp;10&amp;K000000 Official&amp;1#_x000D_</oddHeader>
    <oddFooter>&amp;C_x000D_&amp;1#&amp;"Calibri"&amp;10&amp;K000000 Official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0C1F-5A3A-4A52-B55C-A1CB1CDB60A2}">
  <sheetPr>
    <tabColor rgb="FF00B0F0"/>
    <pageSetUpPr fitToPage="1"/>
  </sheetPr>
  <dimension ref="A1:V121"/>
  <sheetViews>
    <sheetView topLeftCell="A28" zoomScale="80" zoomScaleNormal="80" workbookViewId="0">
      <selection activeCell="V20" sqref="V20"/>
    </sheetView>
  </sheetViews>
  <sheetFormatPr defaultColWidth="8.875" defaultRowHeight="14.25" x14ac:dyDescent="0.2"/>
  <cols>
    <col min="1" max="1" width="8.625" style="2" customWidth="1"/>
    <col min="2" max="2" width="9.625" style="2" customWidth="1"/>
    <col min="3" max="3" width="9.625" style="56" customWidth="1"/>
    <col min="4" max="4" width="9.625" style="2" customWidth="1"/>
    <col min="5" max="5" width="9.625" style="56" customWidth="1"/>
    <col min="6" max="6" width="60.625" customWidth="1"/>
    <col min="7" max="7" width="17.125" customWidth="1"/>
    <col min="8" max="8" width="18.125" customWidth="1"/>
    <col min="9" max="9" width="10.125" customWidth="1"/>
    <col min="10" max="10" width="15.125" customWidth="1"/>
    <col min="11" max="11" width="38.875" customWidth="1"/>
    <col min="12" max="13" width="11.625" customWidth="1"/>
    <col min="14" max="14" width="11.625" style="2" customWidth="1"/>
    <col min="15" max="18" width="8.875" style="2"/>
    <col min="22" max="22" width="8.875" style="5"/>
    <col min="23" max="23" width="16.125" bestFit="1" customWidth="1"/>
    <col min="25" max="25" width="15.125" customWidth="1"/>
  </cols>
  <sheetData>
    <row r="1" spans="1:22" ht="18" x14ac:dyDescent="0.25">
      <c r="A1" s="38"/>
      <c r="B1" s="118" t="s">
        <v>833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V1" s="5" t="s">
        <v>417</v>
      </c>
    </row>
    <row r="2" spans="1:22" x14ac:dyDescent="0.2">
      <c r="A2" s="121" t="s">
        <v>250</v>
      </c>
      <c r="B2" s="121"/>
      <c r="C2" s="121"/>
      <c r="D2" s="121"/>
      <c r="E2" s="121"/>
      <c r="F2" s="119" t="s">
        <v>10</v>
      </c>
      <c r="G2" s="119" t="s">
        <v>11</v>
      </c>
      <c r="H2" s="119" t="s">
        <v>13</v>
      </c>
      <c r="I2" s="120" t="s">
        <v>15</v>
      </c>
      <c r="J2" s="119" t="s">
        <v>17</v>
      </c>
      <c r="K2" s="119" t="s">
        <v>26</v>
      </c>
      <c r="L2" s="119"/>
      <c r="M2" s="119"/>
      <c r="N2" s="119"/>
      <c r="O2" s="119" t="s">
        <v>34</v>
      </c>
      <c r="P2" s="119"/>
      <c r="Q2" s="119"/>
      <c r="R2" s="119"/>
    </row>
    <row r="3" spans="1:22" x14ac:dyDescent="0.2">
      <c r="A3" s="29" t="s">
        <v>0</v>
      </c>
      <c r="B3" s="29" t="s">
        <v>2</v>
      </c>
      <c r="C3" s="51" t="s">
        <v>4</v>
      </c>
      <c r="D3" s="29" t="s">
        <v>6</v>
      </c>
      <c r="E3" s="51" t="s">
        <v>8</v>
      </c>
      <c r="F3" s="119"/>
      <c r="G3" s="119"/>
      <c r="H3" s="119"/>
      <c r="I3" s="120"/>
      <c r="J3" s="119"/>
      <c r="K3" s="7" t="s">
        <v>27</v>
      </c>
      <c r="L3" s="7" t="s">
        <v>4</v>
      </c>
      <c r="M3" s="7" t="s">
        <v>30</v>
      </c>
      <c r="N3" s="28" t="s">
        <v>32</v>
      </c>
      <c r="O3" s="28" t="s">
        <v>35</v>
      </c>
      <c r="P3" s="28" t="s">
        <v>37</v>
      </c>
      <c r="Q3" s="28" t="s">
        <v>39</v>
      </c>
      <c r="R3" s="28" t="s">
        <v>41</v>
      </c>
      <c r="T3" s="3" t="s">
        <v>251</v>
      </c>
    </row>
    <row r="4" spans="1:22" ht="14.25" customHeight="1" x14ac:dyDescent="0.2">
      <c r="A4" s="48" t="s">
        <v>252</v>
      </c>
      <c r="B4" s="48"/>
      <c r="C4" s="52">
        <f>$C$26-TIME(5,30,0)</f>
        <v>0.20833333333333334</v>
      </c>
      <c r="D4" s="52"/>
      <c r="E4" s="52"/>
      <c r="F4" s="36" t="s">
        <v>253</v>
      </c>
      <c r="G4" s="18"/>
      <c r="H4" s="18"/>
      <c r="I4" s="18" t="s">
        <v>254</v>
      </c>
      <c r="J4" s="37"/>
      <c r="K4" s="37"/>
      <c r="L4" s="37"/>
      <c r="M4" s="37"/>
      <c r="N4" s="38"/>
      <c r="O4" s="38"/>
      <c r="P4" s="38"/>
      <c r="Q4" s="38"/>
      <c r="R4" s="38" t="s">
        <v>256</v>
      </c>
    </row>
    <row r="5" spans="1:22" ht="14.25" customHeight="1" x14ac:dyDescent="0.2">
      <c r="A5" s="48" t="s">
        <v>252</v>
      </c>
      <c r="B5" s="48"/>
      <c r="C5" s="52">
        <f>$C$26-TIME(5,15,0)</f>
        <v>0.21875</v>
      </c>
      <c r="D5" s="52">
        <f>E5-C5</f>
        <v>2.0833333333333343E-2</v>
      </c>
      <c r="E5" s="52">
        <v>0.23958333333333334</v>
      </c>
      <c r="F5" s="39" t="s">
        <v>257</v>
      </c>
      <c r="G5" s="18"/>
      <c r="H5" s="18"/>
      <c r="I5" s="18" t="s">
        <v>254</v>
      </c>
      <c r="J5" s="37"/>
      <c r="K5" s="37"/>
      <c r="L5" s="37"/>
      <c r="M5" s="37"/>
      <c r="N5" s="38"/>
      <c r="O5" s="38"/>
      <c r="P5" s="38"/>
      <c r="Q5" s="38"/>
      <c r="R5" s="38"/>
    </row>
    <row r="6" spans="1:22" x14ac:dyDescent="0.2">
      <c r="A6" s="48" t="s">
        <v>252</v>
      </c>
      <c r="B6" s="48"/>
      <c r="C6" s="52">
        <v>0.25</v>
      </c>
      <c r="D6" s="52">
        <f>E6-C6</f>
        <v>0.75</v>
      </c>
      <c r="E6" s="52">
        <v>1</v>
      </c>
      <c r="F6" s="36" t="s">
        <v>258</v>
      </c>
      <c r="G6" s="18"/>
      <c r="H6" s="18"/>
      <c r="I6" s="18" t="s">
        <v>254</v>
      </c>
      <c r="J6" s="37"/>
      <c r="K6" s="37"/>
      <c r="L6" s="37"/>
      <c r="M6" s="37"/>
      <c r="N6" s="38"/>
      <c r="O6" s="38"/>
      <c r="P6" s="38"/>
      <c r="Q6" s="38"/>
      <c r="R6" s="38" t="s">
        <v>256</v>
      </c>
      <c r="T6" s="4"/>
      <c r="U6" s="4"/>
      <c r="V6" s="6"/>
    </row>
    <row r="7" spans="1:22" x14ac:dyDescent="0.2">
      <c r="A7" s="48" t="s">
        <v>252</v>
      </c>
      <c r="B7" s="48"/>
      <c r="C7" s="52">
        <v>0.25694444444444448</v>
      </c>
      <c r="D7" s="52"/>
      <c r="E7" s="52"/>
      <c r="F7" s="18" t="s">
        <v>259</v>
      </c>
      <c r="G7" s="18"/>
      <c r="H7" s="18"/>
      <c r="I7" s="18" t="s">
        <v>254</v>
      </c>
      <c r="J7" s="37"/>
      <c r="K7" s="37"/>
      <c r="L7" s="37"/>
      <c r="M7" s="37"/>
      <c r="N7" s="38"/>
      <c r="O7" s="38"/>
      <c r="P7" s="38"/>
      <c r="Q7" s="38"/>
      <c r="R7" s="38" t="s">
        <v>256</v>
      </c>
      <c r="T7" s="4"/>
      <c r="U7" s="4"/>
      <c r="V7" s="6"/>
    </row>
    <row r="8" spans="1:22" x14ac:dyDescent="0.2">
      <c r="A8" s="48" t="s">
        <v>252</v>
      </c>
      <c r="B8" s="48"/>
      <c r="C8" s="52">
        <v>0.27083333333333331</v>
      </c>
      <c r="D8" s="52">
        <f>E8-C8</f>
        <v>0.66666666666666674</v>
      </c>
      <c r="E8" s="52">
        <v>0.9375</v>
      </c>
      <c r="F8" s="62" t="s">
        <v>260</v>
      </c>
      <c r="G8" s="18" t="s">
        <v>261</v>
      </c>
      <c r="H8" s="18"/>
      <c r="I8" s="18" t="s">
        <v>254</v>
      </c>
      <c r="J8" s="37"/>
      <c r="K8" s="37"/>
      <c r="L8" s="37"/>
      <c r="M8" s="37"/>
      <c r="N8" s="38"/>
      <c r="O8" s="38"/>
      <c r="P8" s="38"/>
      <c r="Q8" s="38"/>
      <c r="R8" s="38" t="s">
        <v>256</v>
      </c>
      <c r="T8" s="4"/>
      <c r="U8" s="4"/>
    </row>
    <row r="9" spans="1:22" x14ac:dyDescent="0.2">
      <c r="A9" s="48" t="s">
        <v>252</v>
      </c>
      <c r="B9" s="48"/>
      <c r="C9" s="52">
        <f>$C$26-TIME(3,30,0)</f>
        <v>0.29166666666666663</v>
      </c>
      <c r="D9" s="52"/>
      <c r="E9" s="52"/>
      <c r="F9" s="69" t="s">
        <v>262</v>
      </c>
      <c r="G9" s="18"/>
      <c r="H9" s="18"/>
      <c r="I9" s="18" t="s">
        <v>254</v>
      </c>
      <c r="J9" s="37"/>
      <c r="K9" s="37"/>
      <c r="L9" s="37"/>
      <c r="M9" s="37"/>
      <c r="N9" s="38"/>
      <c r="O9" s="38"/>
      <c r="P9" s="38"/>
      <c r="Q9" s="38"/>
      <c r="R9" s="38"/>
      <c r="T9" s="4"/>
      <c r="U9" s="4"/>
    </row>
    <row r="10" spans="1:22" x14ac:dyDescent="0.2">
      <c r="A10" s="48" t="s">
        <v>252</v>
      </c>
      <c r="B10" s="48"/>
      <c r="C10" s="52">
        <v>0.29166666666666669</v>
      </c>
      <c r="D10" s="52">
        <f>E10-C10</f>
        <v>0.56791666666666707</v>
      </c>
      <c r="E10" s="52">
        <f>$C$65+TIME(1,0,0)</f>
        <v>0.8595833333333337</v>
      </c>
      <c r="F10" s="18" t="s">
        <v>263</v>
      </c>
      <c r="G10" s="18" t="s">
        <v>264</v>
      </c>
      <c r="H10" s="18"/>
      <c r="I10" s="18" t="s">
        <v>254</v>
      </c>
      <c r="J10" s="37"/>
      <c r="K10" s="37"/>
      <c r="L10" s="37"/>
      <c r="M10" s="37"/>
      <c r="N10" s="38"/>
      <c r="O10" s="38" t="s">
        <v>256</v>
      </c>
      <c r="P10" s="38"/>
      <c r="Q10" s="38"/>
      <c r="R10" s="38" t="s">
        <v>256</v>
      </c>
      <c r="T10" s="4"/>
      <c r="U10" s="4"/>
    </row>
    <row r="11" spans="1:22" x14ac:dyDescent="0.2">
      <c r="A11" s="48" t="s">
        <v>252</v>
      </c>
      <c r="B11" s="48"/>
      <c r="C11" s="52">
        <v>0.29166666666666669</v>
      </c>
      <c r="D11" s="52">
        <f>E11-C11</f>
        <v>0.10416666666666663</v>
      </c>
      <c r="E11" s="52">
        <v>0.39583333333333331</v>
      </c>
      <c r="F11" s="62" t="s">
        <v>265</v>
      </c>
      <c r="G11" s="18" t="s">
        <v>266</v>
      </c>
      <c r="H11" s="18"/>
      <c r="I11" s="18" t="s">
        <v>254</v>
      </c>
      <c r="J11" s="37"/>
      <c r="K11" s="37"/>
      <c r="L11" s="37"/>
      <c r="M11" s="37"/>
      <c r="N11" s="38"/>
      <c r="O11" s="38" t="s">
        <v>256</v>
      </c>
      <c r="P11" s="38"/>
      <c r="Q11" s="38"/>
      <c r="R11" s="38" t="s">
        <v>256</v>
      </c>
      <c r="T11" s="4"/>
      <c r="U11" s="4"/>
    </row>
    <row r="12" spans="1:22" ht="14.25" customHeight="1" x14ac:dyDescent="0.2">
      <c r="A12" s="48" t="s">
        <v>252</v>
      </c>
      <c r="B12" s="48"/>
      <c r="C12" s="52">
        <f>$C$26-TIME(2,30,0)</f>
        <v>0.33333333333333331</v>
      </c>
      <c r="D12" s="52"/>
      <c r="E12" s="52"/>
      <c r="F12" s="69" t="s">
        <v>267</v>
      </c>
      <c r="G12" s="18"/>
      <c r="H12" s="18"/>
      <c r="I12" s="18" t="s">
        <v>254</v>
      </c>
      <c r="J12" s="37"/>
      <c r="K12" s="37"/>
      <c r="L12" s="37"/>
      <c r="M12" s="37"/>
      <c r="N12" s="38"/>
      <c r="O12" s="38"/>
      <c r="P12" s="38"/>
      <c r="Q12" s="38"/>
      <c r="R12" s="38"/>
      <c r="T12" s="4"/>
      <c r="U12" s="4"/>
    </row>
    <row r="13" spans="1:22" x14ac:dyDescent="0.2">
      <c r="A13" s="48" t="s">
        <v>252</v>
      </c>
      <c r="B13" s="48"/>
      <c r="C13" s="52">
        <f>$C$26-TIME(2,30,0)</f>
        <v>0.33333333333333331</v>
      </c>
      <c r="D13" s="52">
        <f>E13-C13</f>
        <v>9.375E-2</v>
      </c>
      <c r="E13" s="52">
        <f>$C$26-TIME(0,15,0)</f>
        <v>0.42708333333333331</v>
      </c>
      <c r="F13" s="18" t="s">
        <v>268</v>
      </c>
      <c r="G13" s="18" t="s">
        <v>269</v>
      </c>
      <c r="H13" s="18"/>
      <c r="I13" s="18" t="s">
        <v>254</v>
      </c>
      <c r="J13" s="37"/>
      <c r="K13" s="37"/>
      <c r="L13" s="37"/>
      <c r="M13" s="37"/>
      <c r="N13" s="38"/>
      <c r="O13" s="38" t="s">
        <v>256</v>
      </c>
      <c r="P13" s="38"/>
      <c r="Q13" s="38"/>
      <c r="R13" s="38" t="s">
        <v>256</v>
      </c>
      <c r="T13" s="4"/>
      <c r="U13" s="4"/>
      <c r="V13" s="6"/>
    </row>
    <row r="14" spans="1:22" x14ac:dyDescent="0.2">
      <c r="A14" s="48" t="s">
        <v>252</v>
      </c>
      <c r="B14" s="48"/>
      <c r="C14" s="52">
        <f>$C$26-TIME(2,0,0)</f>
        <v>0.35416666666666669</v>
      </c>
      <c r="D14" s="52"/>
      <c r="E14" s="52"/>
      <c r="F14" s="92" t="s">
        <v>53</v>
      </c>
      <c r="G14" s="18"/>
      <c r="H14" s="18"/>
      <c r="I14" s="18" t="s">
        <v>254</v>
      </c>
      <c r="J14" s="37"/>
      <c r="K14" s="37"/>
      <c r="L14" s="37"/>
      <c r="M14" s="37"/>
      <c r="N14" s="38"/>
      <c r="O14" s="38"/>
      <c r="P14" s="38"/>
      <c r="Q14" s="38"/>
      <c r="R14" s="38"/>
      <c r="T14" s="4"/>
      <c r="U14" s="4"/>
    </row>
    <row r="15" spans="1:22" x14ac:dyDescent="0.2">
      <c r="A15" s="48" t="s">
        <v>252</v>
      </c>
      <c r="B15" s="48"/>
      <c r="C15" s="52">
        <f>$C$26-TIME(2,0,0)</f>
        <v>0.35416666666666669</v>
      </c>
      <c r="D15" s="52"/>
      <c r="E15" s="52"/>
      <c r="F15" s="18" t="s">
        <v>270</v>
      </c>
      <c r="G15" s="18" t="s">
        <v>271</v>
      </c>
      <c r="H15" s="18"/>
      <c r="I15" s="18" t="s">
        <v>254</v>
      </c>
      <c r="J15" s="37"/>
      <c r="K15" s="37"/>
      <c r="L15" s="37"/>
      <c r="M15" s="37"/>
      <c r="N15" s="38"/>
      <c r="O15" s="38"/>
      <c r="P15" s="38"/>
      <c r="Q15" s="38"/>
      <c r="R15" s="38" t="s">
        <v>256</v>
      </c>
      <c r="T15" s="4"/>
      <c r="U15" s="4"/>
      <c r="V15" s="6"/>
    </row>
    <row r="16" spans="1:22" x14ac:dyDescent="0.2">
      <c r="A16" s="48" t="s">
        <v>252</v>
      </c>
      <c r="B16" s="48"/>
      <c r="C16" s="52">
        <f>$C$26-TIME(1,30,0)</f>
        <v>0.375</v>
      </c>
      <c r="D16" s="52">
        <v>6.25E-2</v>
      </c>
      <c r="E16" s="52">
        <f>$C$26-TIME(0,0,0)</f>
        <v>0.4375</v>
      </c>
      <c r="F16" s="69" t="s">
        <v>55</v>
      </c>
      <c r="G16" s="18" t="s">
        <v>39</v>
      </c>
      <c r="H16" s="18"/>
      <c r="I16" s="18" t="s">
        <v>254</v>
      </c>
      <c r="J16" s="37"/>
      <c r="K16" s="37"/>
      <c r="L16" s="37"/>
      <c r="M16" s="37"/>
      <c r="N16" s="38"/>
      <c r="O16" s="38" t="s">
        <v>256</v>
      </c>
      <c r="P16" s="38"/>
      <c r="Q16" s="38" t="s">
        <v>256</v>
      </c>
      <c r="R16" s="38" t="s">
        <v>256</v>
      </c>
      <c r="T16" s="4"/>
      <c r="U16" s="4"/>
    </row>
    <row r="17" spans="1:21" x14ac:dyDescent="0.2">
      <c r="A17" s="48" t="s">
        <v>252</v>
      </c>
      <c r="B17" s="48"/>
      <c r="C17" s="52">
        <f>$C$26-TIME(1,15,0)</f>
        <v>0.38541666666666669</v>
      </c>
      <c r="D17" s="52"/>
      <c r="E17" s="52"/>
      <c r="F17" s="18" t="s">
        <v>272</v>
      </c>
      <c r="G17" s="18" t="s">
        <v>271</v>
      </c>
      <c r="H17" s="18"/>
      <c r="I17" s="18" t="s">
        <v>254</v>
      </c>
      <c r="J17" s="37"/>
      <c r="K17" s="37"/>
      <c r="L17" s="37"/>
      <c r="M17" s="37"/>
      <c r="N17" s="38"/>
      <c r="O17" s="38"/>
      <c r="P17" s="38"/>
      <c r="Q17" s="38"/>
      <c r="R17" s="38" t="s">
        <v>256</v>
      </c>
      <c r="T17" s="4"/>
      <c r="U17" s="4"/>
    </row>
    <row r="18" spans="1:21" x14ac:dyDescent="0.2">
      <c r="A18" s="48" t="s">
        <v>252</v>
      </c>
      <c r="B18" s="48"/>
      <c r="C18" s="52">
        <f>$C$26-TIME(1,0,0)</f>
        <v>0.39583333333333331</v>
      </c>
      <c r="D18" s="52">
        <f>E18-C18</f>
        <v>2.083333333333337E-2</v>
      </c>
      <c r="E18" s="52">
        <v>0.41666666666666669</v>
      </c>
      <c r="F18" s="18" t="s">
        <v>52</v>
      </c>
      <c r="G18" s="18" t="s">
        <v>271</v>
      </c>
      <c r="H18" s="18"/>
      <c r="I18" s="18" t="s">
        <v>254</v>
      </c>
      <c r="J18" s="37"/>
      <c r="K18" s="37"/>
      <c r="L18" s="37"/>
      <c r="M18" s="37"/>
      <c r="N18" s="38"/>
      <c r="O18" s="38"/>
      <c r="P18" s="38"/>
      <c r="Q18" s="38"/>
      <c r="R18" s="38"/>
      <c r="T18" s="4"/>
      <c r="U18" s="4"/>
    </row>
    <row r="19" spans="1:21" x14ac:dyDescent="0.2">
      <c r="A19" s="48" t="s">
        <v>252</v>
      </c>
      <c r="B19" s="48"/>
      <c r="C19" s="52">
        <v>0.39583333333333331</v>
      </c>
      <c r="D19" s="52"/>
      <c r="E19" s="52"/>
      <c r="F19" s="62" t="s">
        <v>273</v>
      </c>
      <c r="G19" s="18" t="s">
        <v>266</v>
      </c>
      <c r="H19" s="18"/>
      <c r="I19" s="18" t="s">
        <v>254</v>
      </c>
      <c r="J19" s="37"/>
      <c r="K19" s="37"/>
      <c r="L19" s="37"/>
      <c r="M19" s="37"/>
      <c r="N19" s="38"/>
      <c r="O19" s="38" t="s">
        <v>256</v>
      </c>
      <c r="P19" s="38"/>
      <c r="Q19" s="38" t="s">
        <v>256</v>
      </c>
      <c r="R19" s="38" t="s">
        <v>256</v>
      </c>
      <c r="T19" s="4"/>
      <c r="U19" s="4"/>
    </row>
    <row r="20" spans="1:21" x14ac:dyDescent="0.2">
      <c r="A20" s="48" t="s">
        <v>252</v>
      </c>
      <c r="B20" s="48"/>
      <c r="C20" s="52">
        <f>$C$26-TIME(0,15,0)</f>
        <v>0.42708333333333331</v>
      </c>
      <c r="D20" s="52"/>
      <c r="E20" s="52"/>
      <c r="F20" s="18" t="s">
        <v>274</v>
      </c>
      <c r="G20" s="18" t="s">
        <v>269</v>
      </c>
      <c r="H20" s="18"/>
      <c r="I20" s="18" t="s">
        <v>254</v>
      </c>
      <c r="J20" s="37"/>
      <c r="K20" s="37"/>
      <c r="L20" s="37"/>
      <c r="M20" s="37"/>
      <c r="N20" s="38"/>
      <c r="O20" s="38" t="s">
        <v>256</v>
      </c>
      <c r="P20" s="38"/>
      <c r="Q20" s="38" t="s">
        <v>256</v>
      </c>
      <c r="R20" s="38" t="s">
        <v>256</v>
      </c>
      <c r="T20" s="4"/>
      <c r="U20" s="4"/>
    </row>
    <row r="21" spans="1:21" x14ac:dyDescent="0.2">
      <c r="A21" s="48" t="s">
        <v>252</v>
      </c>
      <c r="B21" s="48"/>
      <c r="C21" s="52">
        <f>$C$26-TIME(0,15,0)</f>
        <v>0.42708333333333331</v>
      </c>
      <c r="D21" s="52">
        <f>E21-C21</f>
        <v>-0.42708333333333331</v>
      </c>
      <c r="E21" s="52">
        <f>C38</f>
        <v>0</v>
      </c>
      <c r="F21" s="18" t="s">
        <v>56</v>
      </c>
      <c r="G21" s="18" t="s">
        <v>269</v>
      </c>
      <c r="H21" s="18"/>
      <c r="I21" s="18" t="s">
        <v>254</v>
      </c>
      <c r="J21" s="37"/>
      <c r="K21" s="37"/>
      <c r="L21" s="37"/>
      <c r="M21" s="37"/>
      <c r="N21" s="38"/>
      <c r="O21" s="38" t="s">
        <v>256</v>
      </c>
      <c r="P21" s="38"/>
      <c r="Q21" s="38" t="s">
        <v>256</v>
      </c>
      <c r="R21" s="38" t="s">
        <v>256</v>
      </c>
      <c r="T21" s="4"/>
      <c r="U21" s="4"/>
    </row>
    <row r="22" spans="1:21" x14ac:dyDescent="0.2">
      <c r="A22" s="48" t="s">
        <v>252</v>
      </c>
      <c r="B22" s="48"/>
      <c r="C22" s="52">
        <f>$C$26-TIME(0,5,0)</f>
        <v>0.43402777777777779</v>
      </c>
      <c r="D22" s="52">
        <f>E22-C22</f>
        <v>2.4305555555555469E-3</v>
      </c>
      <c r="E22" s="52">
        <f>$C$26-TIME(0,1,30)</f>
        <v>0.43645833333333334</v>
      </c>
      <c r="F22" s="18" t="s">
        <v>275</v>
      </c>
      <c r="G22" s="18" t="s">
        <v>269</v>
      </c>
      <c r="H22" s="18"/>
      <c r="I22" s="18" t="s">
        <v>254</v>
      </c>
      <c r="J22" s="18" t="s">
        <v>834</v>
      </c>
      <c r="K22" s="37"/>
      <c r="L22" s="37"/>
      <c r="M22" s="37"/>
      <c r="N22" s="38"/>
      <c r="O22" s="38" t="s">
        <v>256</v>
      </c>
      <c r="P22" s="38" t="s">
        <v>256</v>
      </c>
      <c r="Q22" s="38" t="s">
        <v>256</v>
      </c>
      <c r="R22" s="38"/>
      <c r="T22" s="4"/>
      <c r="U22" s="4"/>
    </row>
    <row r="23" spans="1:21" x14ac:dyDescent="0.2">
      <c r="A23" s="48" t="s">
        <v>252</v>
      </c>
      <c r="B23" s="48"/>
      <c r="C23" s="52">
        <f>$C$26-TIME(0,1,30)</f>
        <v>0.43645833333333334</v>
      </c>
      <c r="D23" s="52">
        <f>E23-C23</f>
        <v>3.4722222222222099E-4</v>
      </c>
      <c r="E23" s="52">
        <f>$C$26-TIME(0,1,0)</f>
        <v>0.43680555555555556</v>
      </c>
      <c r="F23" s="18" t="s">
        <v>277</v>
      </c>
      <c r="G23" s="18" t="s">
        <v>269</v>
      </c>
      <c r="H23" s="18"/>
      <c r="I23" s="18" t="s">
        <v>254</v>
      </c>
      <c r="J23" s="18" t="s">
        <v>834</v>
      </c>
      <c r="K23" s="37"/>
      <c r="L23" s="37"/>
      <c r="M23" s="37"/>
      <c r="N23" s="38"/>
      <c r="O23" s="38" t="s">
        <v>256</v>
      </c>
      <c r="P23" s="38" t="s">
        <v>256</v>
      </c>
      <c r="Q23" s="38" t="s">
        <v>256</v>
      </c>
      <c r="R23" s="38"/>
      <c r="T23" s="4"/>
      <c r="U23" s="4"/>
    </row>
    <row r="24" spans="1:21" x14ac:dyDescent="0.2">
      <c r="A24" s="48" t="s">
        <v>252</v>
      </c>
      <c r="B24" s="48"/>
      <c r="C24" s="52">
        <f>$C$26-TIME(0,1,0)</f>
        <v>0.43680555555555556</v>
      </c>
      <c r="D24" s="52">
        <f>E24-C24</f>
        <v>6.9444444444444198E-4</v>
      </c>
      <c r="E24" s="52">
        <f>$C$26-TIME(0,0,0)</f>
        <v>0.4375</v>
      </c>
      <c r="F24" s="18" t="s">
        <v>278</v>
      </c>
      <c r="G24" s="18"/>
      <c r="H24" s="18"/>
      <c r="I24" s="18" t="s">
        <v>254</v>
      </c>
      <c r="J24" s="18"/>
      <c r="K24" s="37"/>
      <c r="L24" s="37"/>
      <c r="M24" s="37"/>
      <c r="N24" s="38"/>
      <c r="O24" s="38"/>
      <c r="P24" s="38"/>
      <c r="Q24" s="38" t="s">
        <v>256</v>
      </c>
      <c r="R24" s="38"/>
      <c r="T24" s="4"/>
      <c r="U24" s="4"/>
    </row>
    <row r="25" spans="1:21" x14ac:dyDescent="0.2">
      <c r="A25" s="41"/>
      <c r="B25" s="41"/>
      <c r="C25" s="65">
        <v>0.4375</v>
      </c>
      <c r="D25" s="41"/>
      <c r="E25" s="53"/>
      <c r="F25" s="31" t="s">
        <v>57</v>
      </c>
      <c r="G25" s="40"/>
      <c r="H25" s="40"/>
      <c r="I25" s="40" t="s">
        <v>254</v>
      </c>
      <c r="J25" s="40" t="s">
        <v>834</v>
      </c>
      <c r="K25" s="40"/>
      <c r="L25" s="108">
        <f t="shared" ref="L25:L39" si="0">C25</f>
        <v>0.4375</v>
      </c>
      <c r="M25" s="103"/>
      <c r="N25" s="41"/>
      <c r="O25" s="41" t="s">
        <v>256</v>
      </c>
      <c r="P25" s="41" t="s">
        <v>256</v>
      </c>
      <c r="Q25" s="41" t="s">
        <v>256</v>
      </c>
      <c r="R25" s="41" t="s">
        <v>256</v>
      </c>
      <c r="T25" s="4"/>
      <c r="U25" s="4"/>
    </row>
    <row r="26" spans="1:21" x14ac:dyDescent="0.2">
      <c r="A26" s="43"/>
      <c r="B26" s="43"/>
      <c r="C26" s="57">
        <v>0.4375</v>
      </c>
      <c r="D26" s="43"/>
      <c r="E26" s="54"/>
      <c r="F26" s="32" t="s">
        <v>60</v>
      </c>
      <c r="G26" s="42"/>
      <c r="H26" s="42"/>
      <c r="I26" s="42" t="s">
        <v>254</v>
      </c>
      <c r="J26" s="42" t="s">
        <v>834</v>
      </c>
      <c r="K26" s="42"/>
      <c r="L26" s="104">
        <f t="shared" si="0"/>
        <v>0.4375</v>
      </c>
      <c r="M26" s="104"/>
      <c r="N26" s="43"/>
      <c r="O26" s="43" t="s">
        <v>256</v>
      </c>
      <c r="P26" s="43" t="s">
        <v>256</v>
      </c>
      <c r="Q26" s="43" t="s">
        <v>256</v>
      </c>
      <c r="R26" s="43" t="s">
        <v>256</v>
      </c>
      <c r="T26" s="4"/>
      <c r="U26" s="4"/>
    </row>
    <row r="27" spans="1:21" x14ac:dyDescent="0.2">
      <c r="A27" s="48" t="s">
        <v>279</v>
      </c>
      <c r="B27" s="52">
        <f t="shared" ref="B27:B37" si="1">C27-$C$26</f>
        <v>0</v>
      </c>
      <c r="C27" s="52">
        <f>'[1]Day 6-H '!$D$10</f>
        <v>0.4375</v>
      </c>
      <c r="D27" s="50">
        <f t="shared" ref="D27:D41" si="2">E27-C27</f>
        <v>2.6504629629630072E-3</v>
      </c>
      <c r="E27" s="52">
        <f>C28</f>
        <v>0.44015046296296301</v>
      </c>
      <c r="F27" s="47" t="s">
        <v>835</v>
      </c>
      <c r="G27" s="18" t="s">
        <v>269</v>
      </c>
      <c r="H27" s="18"/>
      <c r="I27" s="18" t="s">
        <v>254</v>
      </c>
      <c r="J27" s="18" t="s">
        <v>834</v>
      </c>
      <c r="K27" s="89" t="s">
        <v>836</v>
      </c>
      <c r="L27" s="105">
        <f t="shared" si="0"/>
        <v>0.4375</v>
      </c>
      <c r="M27" s="105">
        <f t="shared" ref="M27:M37" si="3">E27</f>
        <v>0.44015046296296301</v>
      </c>
      <c r="N27" s="38"/>
      <c r="O27" s="38" t="s">
        <v>256</v>
      </c>
      <c r="P27" s="38" t="s">
        <v>256</v>
      </c>
      <c r="Q27" s="38" t="s">
        <v>256</v>
      </c>
      <c r="R27" s="38"/>
      <c r="T27" s="4"/>
      <c r="U27" s="4"/>
    </row>
    <row r="28" spans="1:21" x14ac:dyDescent="0.2">
      <c r="A28" s="48" t="s">
        <v>279</v>
      </c>
      <c r="B28" s="52">
        <f t="shared" si="1"/>
        <v>2.6504629629630072E-3</v>
      </c>
      <c r="C28" s="52">
        <f>'[1]Day 6-H '!$D$13</f>
        <v>0.44015046296296301</v>
      </c>
      <c r="D28" s="50">
        <f t="shared" si="2"/>
        <v>2.4305555555556024E-3</v>
      </c>
      <c r="E28" s="52">
        <f t="shared" ref="E28:E37" si="4">C29</f>
        <v>0.44258101851851861</v>
      </c>
      <c r="F28" s="47" t="s">
        <v>837</v>
      </c>
      <c r="G28" s="18" t="s">
        <v>269</v>
      </c>
      <c r="H28" s="18"/>
      <c r="I28" s="18" t="s">
        <v>254</v>
      </c>
      <c r="J28" s="18" t="s">
        <v>834</v>
      </c>
      <c r="K28" s="89" t="s">
        <v>838</v>
      </c>
      <c r="L28" s="105">
        <f t="shared" si="0"/>
        <v>0.44015046296296301</v>
      </c>
      <c r="M28" s="105">
        <f t="shared" si="3"/>
        <v>0.44258101851851861</v>
      </c>
      <c r="N28" s="38"/>
      <c r="O28" s="38" t="s">
        <v>256</v>
      </c>
      <c r="P28" s="38" t="s">
        <v>256</v>
      </c>
      <c r="Q28" s="38" t="s">
        <v>256</v>
      </c>
      <c r="R28" s="38"/>
      <c r="T28" s="4"/>
      <c r="U28" s="4"/>
    </row>
    <row r="29" spans="1:21" x14ac:dyDescent="0.2">
      <c r="A29" s="48" t="s">
        <v>279</v>
      </c>
      <c r="B29" s="52">
        <f t="shared" si="1"/>
        <v>5.0810185185186096E-3</v>
      </c>
      <c r="C29" s="52">
        <f>'[1]Day 6-H '!$D$16</f>
        <v>0.44258101851851861</v>
      </c>
      <c r="D29" s="50">
        <f t="shared" si="2"/>
        <v>2.4884259259259633E-3</v>
      </c>
      <c r="E29" s="52">
        <f t="shared" si="4"/>
        <v>0.44506944444444457</v>
      </c>
      <c r="F29" s="47" t="s">
        <v>839</v>
      </c>
      <c r="G29" s="18" t="s">
        <v>269</v>
      </c>
      <c r="H29" s="18"/>
      <c r="I29" s="18" t="s">
        <v>254</v>
      </c>
      <c r="J29" s="18" t="s">
        <v>834</v>
      </c>
      <c r="K29" s="89" t="s">
        <v>840</v>
      </c>
      <c r="L29" s="105">
        <f t="shared" si="0"/>
        <v>0.44258101851851861</v>
      </c>
      <c r="M29" s="105">
        <f t="shared" si="3"/>
        <v>0.44506944444444457</v>
      </c>
      <c r="N29" s="38"/>
      <c r="O29" s="38" t="s">
        <v>256</v>
      </c>
      <c r="P29" s="38" t="s">
        <v>256</v>
      </c>
      <c r="Q29" s="38" t="s">
        <v>256</v>
      </c>
      <c r="R29" s="38"/>
      <c r="T29" s="4"/>
      <c r="U29" s="4"/>
    </row>
    <row r="30" spans="1:21" x14ac:dyDescent="0.2">
      <c r="A30" s="48" t="s">
        <v>279</v>
      </c>
      <c r="B30" s="52">
        <f t="shared" si="1"/>
        <v>7.569444444444573E-3</v>
      </c>
      <c r="C30" s="52">
        <f>'[1]Day 6-H '!$D$19</f>
        <v>0.44506944444444457</v>
      </c>
      <c r="D30" s="50">
        <f t="shared" si="2"/>
        <v>3.4722222222222654E-3</v>
      </c>
      <c r="E30" s="52">
        <f t="shared" si="4"/>
        <v>0.44854166666666684</v>
      </c>
      <c r="F30" s="47" t="s">
        <v>841</v>
      </c>
      <c r="G30" s="18" t="s">
        <v>269</v>
      </c>
      <c r="H30" s="18"/>
      <c r="I30" s="18" t="s">
        <v>254</v>
      </c>
      <c r="J30" s="18" t="s">
        <v>834</v>
      </c>
      <c r="K30" s="89" t="s">
        <v>842</v>
      </c>
      <c r="L30" s="105">
        <f t="shared" si="0"/>
        <v>0.44506944444444457</v>
      </c>
      <c r="M30" s="105">
        <f t="shared" si="3"/>
        <v>0.44854166666666684</v>
      </c>
      <c r="N30" s="38"/>
      <c r="O30" s="38" t="s">
        <v>256</v>
      </c>
      <c r="P30" s="38" t="s">
        <v>256</v>
      </c>
      <c r="Q30" s="38" t="s">
        <v>256</v>
      </c>
      <c r="R30" s="38"/>
      <c r="T30" s="4"/>
      <c r="U30" s="4"/>
    </row>
    <row r="31" spans="1:21" x14ac:dyDescent="0.2">
      <c r="A31" s="48" t="s">
        <v>279</v>
      </c>
      <c r="B31" s="52">
        <f t="shared" si="1"/>
        <v>1.1041666666666838E-2</v>
      </c>
      <c r="C31" s="52">
        <f>'[1]Day 6-H '!$D$32</f>
        <v>0.44854166666666684</v>
      </c>
      <c r="D31" s="50">
        <f t="shared" si="2"/>
        <v>4.6296296296297057E-3</v>
      </c>
      <c r="E31" s="52">
        <f t="shared" si="4"/>
        <v>0.45317129629629654</v>
      </c>
      <c r="F31" s="47" t="s">
        <v>843</v>
      </c>
      <c r="G31" s="18" t="s">
        <v>269</v>
      </c>
      <c r="H31" s="18"/>
      <c r="I31" s="18" t="s">
        <v>254</v>
      </c>
      <c r="J31" s="18" t="s">
        <v>834</v>
      </c>
      <c r="K31" s="89" t="s">
        <v>844</v>
      </c>
      <c r="L31" s="105">
        <f t="shared" si="0"/>
        <v>0.44854166666666684</v>
      </c>
      <c r="M31" s="105">
        <f t="shared" si="3"/>
        <v>0.45317129629629654</v>
      </c>
      <c r="N31" s="38"/>
      <c r="O31" s="38" t="s">
        <v>256</v>
      </c>
      <c r="P31" s="38" t="s">
        <v>256</v>
      </c>
      <c r="Q31" s="38" t="s">
        <v>256</v>
      </c>
      <c r="R31" s="38"/>
      <c r="T31" s="4"/>
      <c r="U31" s="4"/>
    </row>
    <row r="32" spans="1:21" x14ac:dyDescent="0.2">
      <c r="A32" s="48" t="s">
        <v>279</v>
      </c>
      <c r="B32" s="52">
        <f t="shared" si="1"/>
        <v>1.5671296296296544E-2</v>
      </c>
      <c r="C32" s="52">
        <f>'[1]Day 6-H '!$D$35</f>
        <v>0.45317129629629654</v>
      </c>
      <c r="D32" s="50">
        <f t="shared" si="2"/>
        <v>4.2824074074074847E-3</v>
      </c>
      <c r="E32" s="52">
        <f t="shared" si="4"/>
        <v>0.45745370370370403</v>
      </c>
      <c r="F32" s="47" t="s">
        <v>845</v>
      </c>
      <c r="G32" s="18" t="s">
        <v>269</v>
      </c>
      <c r="H32" s="18"/>
      <c r="I32" s="18" t="s">
        <v>254</v>
      </c>
      <c r="J32" s="18" t="s">
        <v>834</v>
      </c>
      <c r="K32" s="89" t="s">
        <v>846</v>
      </c>
      <c r="L32" s="105">
        <f t="shared" si="0"/>
        <v>0.45317129629629654</v>
      </c>
      <c r="M32" s="105">
        <f t="shared" si="3"/>
        <v>0.45745370370370403</v>
      </c>
      <c r="N32" s="38"/>
      <c r="O32" s="38" t="s">
        <v>256</v>
      </c>
      <c r="P32" s="38" t="s">
        <v>256</v>
      </c>
      <c r="Q32" s="38" t="s">
        <v>256</v>
      </c>
      <c r="R32" s="38"/>
      <c r="T32" s="4"/>
      <c r="U32" s="4"/>
    </row>
    <row r="33" spans="1:21" x14ac:dyDescent="0.2">
      <c r="A33" s="48" t="s">
        <v>279</v>
      </c>
      <c r="B33" s="52">
        <f t="shared" si="1"/>
        <v>1.9953703703704029E-2</v>
      </c>
      <c r="C33" s="52">
        <f>'[1]Day 6-H '!$D$38</f>
        <v>0.45745370370370403</v>
      </c>
      <c r="D33" s="50">
        <f t="shared" si="2"/>
        <v>4.0625000000000799E-3</v>
      </c>
      <c r="E33" s="52">
        <f t="shared" si="4"/>
        <v>0.46151620370370411</v>
      </c>
      <c r="F33" s="47" t="s">
        <v>847</v>
      </c>
      <c r="G33" s="18" t="s">
        <v>269</v>
      </c>
      <c r="H33" s="18"/>
      <c r="I33" s="18" t="s">
        <v>254</v>
      </c>
      <c r="J33" s="18" t="s">
        <v>834</v>
      </c>
      <c r="K33" s="89" t="s">
        <v>848</v>
      </c>
      <c r="L33" s="105">
        <f t="shared" si="0"/>
        <v>0.45745370370370403</v>
      </c>
      <c r="M33" s="105">
        <f t="shared" si="3"/>
        <v>0.46151620370370411</v>
      </c>
      <c r="N33" s="38"/>
      <c r="O33" s="38" t="s">
        <v>256</v>
      </c>
      <c r="P33" s="38" t="s">
        <v>256</v>
      </c>
      <c r="Q33" s="38" t="s">
        <v>256</v>
      </c>
      <c r="R33" s="38"/>
      <c r="T33" s="4"/>
      <c r="U33" s="4"/>
    </row>
    <row r="34" spans="1:21" x14ac:dyDescent="0.2">
      <c r="A34" s="48" t="s">
        <v>279</v>
      </c>
      <c r="B34" s="52">
        <f t="shared" ref="B34" si="5">C34-$C$26</f>
        <v>2.4016203703704109E-2</v>
      </c>
      <c r="C34" s="52">
        <f>'[1]Day 6-H '!$D$41</f>
        <v>0.46151620370370411</v>
      </c>
      <c r="D34" s="50">
        <f t="shared" ref="D34" si="6">E34-C34</f>
        <v>5.0347222222222321E-3</v>
      </c>
      <c r="E34" s="52">
        <f>C35</f>
        <v>0.46655092592592634</v>
      </c>
      <c r="F34" s="47" t="s">
        <v>849</v>
      </c>
      <c r="G34" s="18" t="s">
        <v>269</v>
      </c>
      <c r="H34" s="18"/>
      <c r="I34" s="18" t="s">
        <v>254</v>
      </c>
      <c r="J34" s="18" t="s">
        <v>834</v>
      </c>
      <c r="K34" s="89" t="s">
        <v>850</v>
      </c>
      <c r="L34" s="105">
        <f t="shared" ref="L34" si="7">C34</f>
        <v>0.46151620370370411</v>
      </c>
      <c r="M34" s="105">
        <f t="shared" ref="M34" si="8">E34</f>
        <v>0.46655092592592634</v>
      </c>
      <c r="N34" s="38"/>
      <c r="O34" s="38" t="s">
        <v>256</v>
      </c>
      <c r="P34" s="38" t="s">
        <v>256</v>
      </c>
      <c r="Q34" s="38" t="s">
        <v>256</v>
      </c>
      <c r="R34" s="38"/>
      <c r="T34" s="4"/>
      <c r="U34" s="4"/>
    </row>
    <row r="35" spans="1:21" s="5" customFormat="1" x14ac:dyDescent="0.2">
      <c r="A35" s="48" t="s">
        <v>279</v>
      </c>
      <c r="B35" s="52">
        <f t="shared" si="1"/>
        <v>2.9050925925926341E-2</v>
      </c>
      <c r="C35" s="52">
        <f>'[1]Day 6-H '!$D$53</f>
        <v>0.46655092592592634</v>
      </c>
      <c r="D35" s="50">
        <f t="shared" si="2"/>
        <v>3.6805555555556313E-3</v>
      </c>
      <c r="E35" s="52">
        <f t="shared" si="4"/>
        <v>0.47023148148148197</v>
      </c>
      <c r="F35" s="47" t="s">
        <v>851</v>
      </c>
      <c r="G35" s="18" t="s">
        <v>269</v>
      </c>
      <c r="H35" s="18"/>
      <c r="I35" s="18" t="s">
        <v>254</v>
      </c>
      <c r="J35" s="18" t="s">
        <v>834</v>
      </c>
      <c r="K35" s="89" t="s">
        <v>1086</v>
      </c>
      <c r="L35" s="105">
        <f t="shared" si="0"/>
        <v>0.46655092592592634</v>
      </c>
      <c r="M35" s="105">
        <f t="shared" si="3"/>
        <v>0.47023148148148197</v>
      </c>
      <c r="N35" s="38"/>
      <c r="O35" s="38" t="s">
        <v>256</v>
      </c>
      <c r="P35" s="38" t="s">
        <v>256</v>
      </c>
      <c r="Q35" s="38" t="s">
        <v>256</v>
      </c>
      <c r="R35" s="38"/>
      <c r="S35"/>
      <c r="T35" s="4"/>
      <c r="U35" s="4"/>
    </row>
    <row r="36" spans="1:21" s="5" customFormat="1" x14ac:dyDescent="0.2">
      <c r="A36" s="48" t="s">
        <v>279</v>
      </c>
      <c r="B36" s="52">
        <f t="shared" si="1"/>
        <v>3.2731481481481972E-2</v>
      </c>
      <c r="C36" s="52">
        <f>'[1]Day 6-H '!$D$56</f>
        <v>0.47023148148148197</v>
      </c>
      <c r="D36" s="50">
        <f t="shared" si="2"/>
        <v>5.3703703703703587E-3</v>
      </c>
      <c r="E36" s="52">
        <f t="shared" si="4"/>
        <v>0.47560185185185233</v>
      </c>
      <c r="F36" s="47" t="s">
        <v>853</v>
      </c>
      <c r="G36" s="18" t="s">
        <v>269</v>
      </c>
      <c r="H36" s="18"/>
      <c r="I36" s="18" t="s">
        <v>254</v>
      </c>
      <c r="J36" s="18" t="s">
        <v>834</v>
      </c>
      <c r="K36" s="89" t="s">
        <v>852</v>
      </c>
      <c r="L36" s="105">
        <f t="shared" si="0"/>
        <v>0.47023148148148197</v>
      </c>
      <c r="M36" s="105">
        <f t="shared" si="3"/>
        <v>0.47560185185185233</v>
      </c>
      <c r="N36" s="38"/>
      <c r="O36" s="38" t="s">
        <v>256</v>
      </c>
      <c r="P36" s="38" t="s">
        <v>256</v>
      </c>
      <c r="Q36" s="38" t="s">
        <v>256</v>
      </c>
      <c r="R36" s="38"/>
      <c r="S36"/>
      <c r="T36" s="4"/>
      <c r="U36" s="4"/>
    </row>
    <row r="37" spans="1:21" s="5" customFormat="1" x14ac:dyDescent="0.2">
      <c r="A37" s="48" t="s">
        <v>279</v>
      </c>
      <c r="B37" s="52">
        <f t="shared" si="1"/>
        <v>3.8101851851852331E-2</v>
      </c>
      <c r="C37" s="52">
        <f>'[1]Day 6-H '!$D$60</f>
        <v>0.47560185185185233</v>
      </c>
      <c r="D37" s="50">
        <f t="shared" ref="D37" si="9">E37-C37</f>
        <v>-0.47560185185185233</v>
      </c>
      <c r="E37" s="52">
        <f t="shared" si="4"/>
        <v>0</v>
      </c>
      <c r="F37" s="18" t="s">
        <v>357</v>
      </c>
      <c r="G37" s="18" t="s">
        <v>269</v>
      </c>
      <c r="H37" s="18"/>
      <c r="I37" s="18" t="s">
        <v>254</v>
      </c>
      <c r="J37" s="18" t="s">
        <v>834</v>
      </c>
      <c r="K37" s="37"/>
      <c r="L37" s="105">
        <f t="shared" si="0"/>
        <v>0.47560185185185233</v>
      </c>
      <c r="M37" s="105">
        <f t="shared" si="3"/>
        <v>0</v>
      </c>
      <c r="N37" s="38"/>
      <c r="O37" s="38" t="s">
        <v>256</v>
      </c>
      <c r="P37" s="38" t="s">
        <v>256</v>
      </c>
      <c r="Q37" s="38" t="s">
        <v>256</v>
      </c>
      <c r="R37" s="38"/>
      <c r="S37"/>
      <c r="T37" s="4"/>
      <c r="U37" s="4"/>
    </row>
    <row r="38" spans="1:21" s="5" customFormat="1" x14ac:dyDescent="0.2">
      <c r="A38" s="48" t="s">
        <v>279</v>
      </c>
      <c r="B38" s="52"/>
      <c r="C38" s="52">
        <f>'[1]Day 6-H '!$D$61</f>
        <v>0</v>
      </c>
      <c r="D38" s="50"/>
      <c r="E38" s="52"/>
      <c r="F38" s="20" t="s">
        <v>358</v>
      </c>
      <c r="G38" s="18" t="s">
        <v>269</v>
      </c>
      <c r="H38" s="18"/>
      <c r="I38" s="18" t="s">
        <v>254</v>
      </c>
      <c r="J38" s="18" t="s">
        <v>834</v>
      </c>
      <c r="K38" s="37"/>
      <c r="L38" s="105">
        <f t="shared" si="0"/>
        <v>0</v>
      </c>
      <c r="M38" s="105"/>
      <c r="N38" s="38"/>
      <c r="O38" s="38" t="s">
        <v>256</v>
      </c>
      <c r="P38" s="38" t="s">
        <v>256</v>
      </c>
      <c r="Q38" s="38" t="s">
        <v>256</v>
      </c>
      <c r="R38" s="38"/>
      <c r="S38"/>
      <c r="T38" s="4"/>
      <c r="U38" s="4"/>
    </row>
    <row r="39" spans="1:21" s="5" customFormat="1" x14ac:dyDescent="0.2">
      <c r="A39" s="46" t="s">
        <v>279</v>
      </c>
      <c r="B39" s="55"/>
      <c r="C39" s="64">
        <v>0.47916666666666669</v>
      </c>
      <c r="D39" s="46"/>
      <c r="E39" s="55"/>
      <c r="F39" s="33" t="s">
        <v>62</v>
      </c>
      <c r="G39" s="45"/>
      <c r="H39" s="45"/>
      <c r="I39" s="45" t="s">
        <v>254</v>
      </c>
      <c r="J39" s="45" t="s">
        <v>834</v>
      </c>
      <c r="K39" s="45"/>
      <c r="L39" s="106">
        <f t="shared" si="0"/>
        <v>0.47916666666666669</v>
      </c>
      <c r="M39" s="109"/>
      <c r="N39" s="55"/>
      <c r="O39" s="46" t="s">
        <v>256</v>
      </c>
      <c r="P39" s="46" t="s">
        <v>256</v>
      </c>
      <c r="Q39" s="46" t="s">
        <v>256</v>
      </c>
      <c r="R39" s="46" t="s">
        <v>256</v>
      </c>
      <c r="S39"/>
      <c r="T39" s="4"/>
      <c r="U39" s="4"/>
    </row>
    <row r="40" spans="1:21" s="5" customFormat="1" x14ac:dyDescent="0.2">
      <c r="A40" s="48" t="s">
        <v>279</v>
      </c>
      <c r="B40" s="52">
        <f t="shared" ref="B40:B45" si="10">C40-$C$26</f>
        <v>4.1666666666666685E-2</v>
      </c>
      <c r="C40" s="52">
        <f>C39</f>
        <v>0.47916666666666669</v>
      </c>
      <c r="D40" s="50">
        <f t="shared" si="2"/>
        <v>4.1666666666666685E-2</v>
      </c>
      <c r="E40" s="52">
        <f>$C$40+TIME(1,0,0)</f>
        <v>0.52083333333333337</v>
      </c>
      <c r="F40" s="47" t="s">
        <v>359</v>
      </c>
      <c r="G40" s="18" t="s">
        <v>264</v>
      </c>
      <c r="H40" s="18"/>
      <c r="I40" s="18" t="s">
        <v>254</v>
      </c>
      <c r="J40" s="37"/>
      <c r="K40" s="37"/>
      <c r="L40" s="37"/>
      <c r="M40" s="37"/>
      <c r="N40" s="38"/>
      <c r="O40" s="38"/>
      <c r="P40" s="38"/>
      <c r="Q40" s="38"/>
      <c r="R40" s="38" t="s">
        <v>256</v>
      </c>
      <c r="S40"/>
      <c r="T40" s="4"/>
      <c r="U40" s="4"/>
    </row>
    <row r="41" spans="1:21" s="5" customFormat="1" x14ac:dyDescent="0.2">
      <c r="A41" s="48" t="s">
        <v>279</v>
      </c>
      <c r="B41" s="52">
        <f t="shared" si="10"/>
        <v>0.125</v>
      </c>
      <c r="C41" s="52">
        <v>0.5625</v>
      </c>
      <c r="D41" s="50">
        <f t="shared" si="2"/>
        <v>0.1875</v>
      </c>
      <c r="E41" s="52">
        <v>0.75</v>
      </c>
      <c r="F41" s="63" t="s">
        <v>360</v>
      </c>
      <c r="G41" s="18" t="s">
        <v>266</v>
      </c>
      <c r="H41" s="18"/>
      <c r="I41" s="18" t="s">
        <v>254</v>
      </c>
      <c r="J41" s="37"/>
      <c r="K41" s="37"/>
      <c r="L41" s="37"/>
      <c r="M41" s="37"/>
      <c r="N41" s="38"/>
      <c r="O41" s="38"/>
      <c r="P41" s="38"/>
      <c r="Q41" s="38"/>
      <c r="R41" s="38" t="s">
        <v>256</v>
      </c>
      <c r="S41"/>
      <c r="T41" s="4"/>
      <c r="U41" s="4"/>
    </row>
    <row r="42" spans="1:21" s="5" customFormat="1" x14ac:dyDescent="0.2">
      <c r="A42" s="48" t="s">
        <v>279</v>
      </c>
      <c r="B42" s="52">
        <f t="shared" si="10"/>
        <v>5.6249999999999967E-2</v>
      </c>
      <c r="C42" s="52">
        <v>0.49374999999999997</v>
      </c>
      <c r="D42" s="48"/>
      <c r="E42" s="52"/>
      <c r="F42" s="47" t="s">
        <v>65</v>
      </c>
      <c r="G42" s="18"/>
      <c r="H42" s="18"/>
      <c r="I42" s="18" t="s">
        <v>254</v>
      </c>
      <c r="J42" s="37"/>
      <c r="K42" s="37"/>
      <c r="L42" s="37"/>
      <c r="M42" s="37"/>
      <c r="N42" s="38"/>
      <c r="O42" s="38"/>
      <c r="P42" s="38"/>
      <c r="Q42" s="38"/>
      <c r="R42" s="38"/>
      <c r="S42"/>
      <c r="T42" s="4"/>
      <c r="U42" s="4"/>
    </row>
    <row r="43" spans="1:21" s="5" customFormat="1" x14ac:dyDescent="0.2">
      <c r="A43" s="48" t="s">
        <v>279</v>
      </c>
      <c r="B43" s="52">
        <f t="shared" si="10"/>
        <v>6.25E-2</v>
      </c>
      <c r="C43" s="52">
        <f>$C$39+TIME(0,30,0)</f>
        <v>0.5</v>
      </c>
      <c r="D43" s="48"/>
      <c r="E43" s="52"/>
      <c r="F43" s="47" t="s">
        <v>361</v>
      </c>
      <c r="G43" s="18" t="s">
        <v>271</v>
      </c>
      <c r="H43" s="18"/>
      <c r="I43" s="18" t="s">
        <v>254</v>
      </c>
      <c r="J43" s="37"/>
      <c r="K43" s="37"/>
      <c r="L43" s="37"/>
      <c r="M43" s="37"/>
      <c r="N43" s="38"/>
      <c r="O43" s="38"/>
      <c r="P43" s="38"/>
      <c r="Q43" s="38"/>
      <c r="R43" s="38" t="s">
        <v>256</v>
      </c>
      <c r="S43"/>
      <c r="T43" s="4"/>
      <c r="U43" s="4"/>
    </row>
    <row r="44" spans="1:21" s="5" customFormat="1" x14ac:dyDescent="0.2">
      <c r="A44" s="48" t="s">
        <v>279</v>
      </c>
      <c r="B44" s="52">
        <f t="shared" si="10"/>
        <v>7.2916666666666741E-2</v>
      </c>
      <c r="C44" s="52">
        <f>$C$39+TIME(0,45,0)</f>
        <v>0.51041666666666674</v>
      </c>
      <c r="D44" s="48"/>
      <c r="E44" s="52"/>
      <c r="F44" s="18" t="s">
        <v>362</v>
      </c>
      <c r="G44" s="18" t="s">
        <v>271</v>
      </c>
      <c r="H44" s="18"/>
      <c r="I44" s="18" t="s">
        <v>254</v>
      </c>
      <c r="J44" s="37"/>
      <c r="K44" s="37"/>
      <c r="L44" s="37"/>
      <c r="M44" s="37"/>
      <c r="N44" s="38"/>
      <c r="O44" s="38"/>
      <c r="P44" s="38"/>
      <c r="Q44" s="38"/>
      <c r="R44" s="38" t="s">
        <v>256</v>
      </c>
      <c r="S44"/>
      <c r="T44" s="4"/>
      <c r="U44" s="4"/>
    </row>
    <row r="45" spans="1:21" s="5" customFormat="1" x14ac:dyDescent="0.2">
      <c r="A45" s="48" t="s">
        <v>279</v>
      </c>
      <c r="B45" s="52">
        <f t="shared" si="10"/>
        <v>8.333333333333337E-2</v>
      </c>
      <c r="C45" s="52">
        <f>$C$40+TIME(1,0,0)</f>
        <v>0.52083333333333337</v>
      </c>
      <c r="D45" s="48"/>
      <c r="E45" s="52"/>
      <c r="F45" s="47" t="s">
        <v>363</v>
      </c>
      <c r="G45" s="18"/>
      <c r="H45" s="18"/>
      <c r="I45" s="18" t="s">
        <v>254</v>
      </c>
      <c r="J45" s="37"/>
      <c r="K45" s="37"/>
      <c r="L45" s="37"/>
      <c r="M45" s="37"/>
      <c r="N45" s="38"/>
      <c r="O45" s="38"/>
      <c r="P45" s="38"/>
      <c r="Q45" s="38"/>
      <c r="R45" s="38" t="s">
        <v>256</v>
      </c>
      <c r="S45"/>
      <c r="T45" s="4"/>
      <c r="U45" s="4"/>
    </row>
    <row r="46" spans="1:21" s="5" customFormat="1" x14ac:dyDescent="0.2">
      <c r="A46" s="58"/>
      <c r="B46" s="59"/>
      <c r="C46" s="59"/>
      <c r="D46" s="58"/>
      <c r="E46" s="59"/>
      <c r="F46" s="60"/>
      <c r="G46" s="60"/>
      <c r="H46" s="60"/>
      <c r="I46" s="60" t="s">
        <v>254</v>
      </c>
      <c r="J46" s="60"/>
      <c r="K46" s="60"/>
      <c r="L46" s="60"/>
      <c r="M46" s="60"/>
      <c r="N46" s="58"/>
      <c r="O46" s="58"/>
      <c r="P46" s="58"/>
      <c r="Q46" s="58"/>
      <c r="R46" s="58"/>
      <c r="S46"/>
      <c r="T46" s="4"/>
      <c r="U46" s="4"/>
    </row>
    <row r="47" spans="1:21" s="5" customFormat="1" ht="14.25" customHeight="1" x14ac:dyDescent="0.2">
      <c r="A47" s="48" t="s">
        <v>252</v>
      </c>
      <c r="B47" s="52">
        <f>$C$60-C47</f>
        <v>0.15069444444444458</v>
      </c>
      <c r="C47" s="52">
        <f>$C$57-TIME(3,30,0)</f>
        <v>0.64583333333333326</v>
      </c>
      <c r="D47" s="48"/>
      <c r="E47" s="52"/>
      <c r="F47" s="39" t="s">
        <v>257</v>
      </c>
      <c r="G47" s="18"/>
      <c r="H47" s="18"/>
      <c r="I47" s="18" t="s">
        <v>254</v>
      </c>
      <c r="J47" s="37"/>
      <c r="K47" s="37"/>
      <c r="L47" s="37"/>
      <c r="M47" s="37"/>
      <c r="N47" s="38"/>
      <c r="O47" s="38"/>
      <c r="P47" s="38"/>
      <c r="Q47" s="38"/>
      <c r="R47" s="38"/>
      <c r="S47"/>
      <c r="T47" s="4"/>
      <c r="U47" s="4"/>
    </row>
    <row r="48" spans="1:21" s="5" customFormat="1" x14ac:dyDescent="0.2">
      <c r="A48" s="48" t="s">
        <v>252</v>
      </c>
      <c r="B48" s="52">
        <f>$C$60-C48</f>
        <v>0.10902777777777783</v>
      </c>
      <c r="C48" s="52">
        <f>$C$57-TIME(2,30,0)</f>
        <v>0.6875</v>
      </c>
      <c r="D48" s="50">
        <f t="shared" ref="D48" si="11">E48-C48</f>
        <v>9.375E-2</v>
      </c>
      <c r="E48" s="52">
        <f>$C$57-TIME(0,15,0)</f>
        <v>0.78125</v>
      </c>
      <c r="F48" s="18" t="s">
        <v>365</v>
      </c>
      <c r="G48" s="18" t="s">
        <v>269</v>
      </c>
      <c r="H48" s="18"/>
      <c r="I48" s="18" t="s">
        <v>254</v>
      </c>
      <c r="J48" s="37"/>
      <c r="K48" s="37"/>
      <c r="L48" s="37"/>
      <c r="M48" s="37"/>
      <c r="N48" s="38"/>
      <c r="O48" s="38"/>
      <c r="P48" s="38"/>
      <c r="Q48" s="38"/>
      <c r="R48" s="38" t="s">
        <v>256</v>
      </c>
      <c r="S48"/>
      <c r="T48" s="4"/>
      <c r="U48" s="4"/>
    </row>
    <row r="49" spans="1:21" s="5" customFormat="1" x14ac:dyDescent="0.2">
      <c r="A49" s="48" t="s">
        <v>252</v>
      </c>
      <c r="B49" s="52">
        <f>$C$60-C49</f>
        <v>8.8194444444444575E-2</v>
      </c>
      <c r="C49" s="52">
        <f>$C$57-TIME(2,0,0)</f>
        <v>0.70833333333333326</v>
      </c>
      <c r="D49" s="48"/>
      <c r="E49" s="52"/>
      <c r="F49" s="18" t="s">
        <v>473</v>
      </c>
      <c r="G49" s="18" t="s">
        <v>271</v>
      </c>
      <c r="H49" s="18"/>
      <c r="I49" s="18" t="s">
        <v>254</v>
      </c>
      <c r="J49" s="37"/>
      <c r="K49" s="37"/>
      <c r="L49" s="37"/>
      <c r="M49" s="37"/>
      <c r="N49" s="38"/>
      <c r="O49" s="38"/>
      <c r="P49" s="38"/>
      <c r="Q49" s="38"/>
      <c r="R49" s="38" t="s">
        <v>256</v>
      </c>
      <c r="S49"/>
      <c r="T49" s="4"/>
      <c r="U49" s="4"/>
    </row>
    <row r="50" spans="1:21" s="5" customFormat="1" x14ac:dyDescent="0.2">
      <c r="A50" s="48" t="s">
        <v>252</v>
      </c>
      <c r="B50" s="52">
        <f>$C$60-C50</f>
        <v>5.6944444444444575E-2</v>
      </c>
      <c r="C50" s="52">
        <f>$C$57-TIME(1,15,0)</f>
        <v>0.73958333333333326</v>
      </c>
      <c r="D50" s="48"/>
      <c r="E50" s="52"/>
      <c r="F50" s="18" t="s">
        <v>366</v>
      </c>
      <c r="G50" s="18" t="s">
        <v>271</v>
      </c>
      <c r="H50" s="18"/>
      <c r="I50" s="18" t="s">
        <v>254</v>
      </c>
      <c r="J50" s="37"/>
      <c r="K50" s="37"/>
      <c r="L50" s="37"/>
      <c r="M50" s="37"/>
      <c r="N50" s="38"/>
      <c r="O50" s="38"/>
      <c r="P50" s="38"/>
      <c r="Q50" s="38"/>
      <c r="R50" s="38" t="s">
        <v>256</v>
      </c>
      <c r="S50"/>
      <c r="T50" s="4"/>
      <c r="U50" s="4"/>
    </row>
    <row r="51" spans="1:21" s="5" customFormat="1" x14ac:dyDescent="0.2">
      <c r="A51" s="48" t="s">
        <v>252</v>
      </c>
      <c r="B51" s="52">
        <f>$C$60-C51</f>
        <v>4.6527777777777835E-2</v>
      </c>
      <c r="C51" s="52">
        <f>$C$57-TIME(1,0,0)</f>
        <v>0.75</v>
      </c>
      <c r="D51" s="48"/>
      <c r="E51" s="52"/>
      <c r="F51" s="18" t="s">
        <v>52</v>
      </c>
      <c r="G51" s="18" t="s">
        <v>271</v>
      </c>
      <c r="H51" s="18"/>
      <c r="I51" s="18" t="s">
        <v>254</v>
      </c>
      <c r="J51" s="37"/>
      <c r="K51" s="37"/>
      <c r="L51" s="37"/>
      <c r="M51" s="37"/>
      <c r="N51" s="38"/>
      <c r="O51" s="38"/>
      <c r="P51" s="38"/>
      <c r="Q51" s="38"/>
      <c r="R51" s="38" t="s">
        <v>256</v>
      </c>
      <c r="S51"/>
      <c r="T51" s="4"/>
      <c r="U51" s="4"/>
    </row>
    <row r="52" spans="1:21" s="5" customFormat="1" x14ac:dyDescent="0.2">
      <c r="A52" s="48" t="s">
        <v>252</v>
      </c>
      <c r="B52" s="52"/>
      <c r="C52" s="52"/>
      <c r="D52" s="48"/>
      <c r="E52" s="52"/>
      <c r="F52" s="20" t="s">
        <v>53</v>
      </c>
      <c r="G52" s="18"/>
      <c r="H52" s="18"/>
      <c r="I52" s="18" t="s">
        <v>254</v>
      </c>
      <c r="J52" s="37"/>
      <c r="K52" s="37"/>
      <c r="L52" s="37"/>
      <c r="M52" s="37"/>
      <c r="N52" s="38"/>
      <c r="O52" s="38"/>
      <c r="P52" s="38"/>
      <c r="Q52" s="38"/>
      <c r="R52" s="38" t="s">
        <v>256</v>
      </c>
      <c r="S52"/>
      <c r="T52" s="4"/>
      <c r="U52" s="4"/>
    </row>
    <row r="53" spans="1:21" s="5" customFormat="1" x14ac:dyDescent="0.2">
      <c r="A53" s="48" t="s">
        <v>252</v>
      </c>
      <c r="B53" s="52"/>
      <c r="C53" s="52"/>
      <c r="D53" s="48"/>
      <c r="E53" s="52"/>
      <c r="F53" s="18" t="s">
        <v>55</v>
      </c>
      <c r="G53" s="18" t="s">
        <v>39</v>
      </c>
      <c r="H53" s="18"/>
      <c r="I53" s="18" t="s">
        <v>254</v>
      </c>
      <c r="J53" s="37"/>
      <c r="K53" s="37"/>
      <c r="L53" s="37"/>
      <c r="M53" s="37"/>
      <c r="N53" s="38"/>
      <c r="O53" s="38"/>
      <c r="P53" s="38"/>
      <c r="Q53" s="38"/>
      <c r="R53" s="38" t="s">
        <v>256</v>
      </c>
      <c r="S53"/>
      <c r="T53" s="4"/>
      <c r="U53" s="4"/>
    </row>
    <row r="54" spans="1:21" s="5" customFormat="1" x14ac:dyDescent="0.2">
      <c r="A54" s="48" t="s">
        <v>252</v>
      </c>
      <c r="B54" s="52"/>
      <c r="C54" s="52"/>
      <c r="D54" s="48"/>
      <c r="E54" s="52">
        <v>0.75</v>
      </c>
      <c r="F54" s="62" t="s">
        <v>367</v>
      </c>
      <c r="G54" s="18" t="s">
        <v>266</v>
      </c>
      <c r="H54" s="18"/>
      <c r="I54" s="18" t="s">
        <v>254</v>
      </c>
      <c r="J54" s="37"/>
      <c r="K54" s="37"/>
      <c r="L54" s="37"/>
      <c r="M54" s="37"/>
      <c r="N54" s="38"/>
      <c r="O54" s="38"/>
      <c r="P54" s="38"/>
      <c r="Q54" s="38"/>
      <c r="R54" s="38" t="s">
        <v>256</v>
      </c>
      <c r="S54"/>
      <c r="T54" s="4"/>
      <c r="U54" s="4"/>
    </row>
    <row r="55" spans="1:21" s="5" customFormat="1" x14ac:dyDescent="0.2">
      <c r="A55" s="48" t="s">
        <v>252</v>
      </c>
      <c r="B55" s="52"/>
      <c r="C55" s="52"/>
      <c r="D55" s="48"/>
      <c r="E55" s="52">
        <f>$C$57-TIME(0,15,0)</f>
        <v>0.78125</v>
      </c>
      <c r="F55" s="18" t="s">
        <v>274</v>
      </c>
      <c r="G55" s="18" t="s">
        <v>269</v>
      </c>
      <c r="H55" s="18"/>
      <c r="I55" s="18" t="s">
        <v>254</v>
      </c>
      <c r="J55" s="37"/>
      <c r="K55" s="37"/>
      <c r="L55" s="37"/>
      <c r="M55" s="37"/>
      <c r="N55" s="38"/>
      <c r="O55" s="38"/>
      <c r="P55" s="38"/>
      <c r="Q55" s="38"/>
      <c r="R55" s="38" t="s">
        <v>256</v>
      </c>
      <c r="S55"/>
      <c r="T55" s="4"/>
      <c r="U55" s="4"/>
    </row>
    <row r="56" spans="1:21" s="5" customFormat="1" x14ac:dyDescent="0.2">
      <c r="A56" s="48" t="s">
        <v>252</v>
      </c>
      <c r="B56" s="52">
        <f>$C$60-C56</f>
        <v>1.5277777777777835E-2</v>
      </c>
      <c r="C56" s="52">
        <f>$C$57-TIME(0,15,0)</f>
        <v>0.78125</v>
      </c>
      <c r="D56" s="50">
        <f>E56-C56</f>
        <v>0.12847222222222221</v>
      </c>
      <c r="E56" s="52">
        <v>0.90972222222222221</v>
      </c>
      <c r="F56" s="18" t="s">
        <v>56</v>
      </c>
      <c r="G56" s="18" t="s">
        <v>269</v>
      </c>
      <c r="H56" s="18"/>
      <c r="I56" s="18" t="s">
        <v>254</v>
      </c>
      <c r="J56" s="37"/>
      <c r="K56" s="37"/>
      <c r="L56" s="37"/>
      <c r="M56" s="37"/>
      <c r="N56" s="38"/>
      <c r="O56" s="38"/>
      <c r="P56" s="38"/>
      <c r="Q56" s="38"/>
      <c r="R56" s="38" t="s">
        <v>256</v>
      </c>
      <c r="S56"/>
      <c r="T56" s="4"/>
      <c r="U56" s="4"/>
    </row>
    <row r="57" spans="1:21" s="5" customFormat="1" x14ac:dyDescent="0.2">
      <c r="A57" s="41" t="s">
        <v>252</v>
      </c>
      <c r="B57" s="53">
        <f>$C$60-C57</f>
        <v>4.8611111111112049E-3</v>
      </c>
      <c r="C57" s="65">
        <v>0.79166666666666663</v>
      </c>
      <c r="D57" s="41"/>
      <c r="E57" s="53"/>
      <c r="F57" s="31" t="s">
        <v>57</v>
      </c>
      <c r="G57" s="40"/>
      <c r="H57" s="40"/>
      <c r="I57" s="40" t="s">
        <v>254</v>
      </c>
      <c r="J57" s="40" t="s">
        <v>854</v>
      </c>
      <c r="K57" s="40"/>
      <c r="L57" s="108">
        <f t="shared" ref="L57:L81" si="12">C57</f>
        <v>0.79166666666666663</v>
      </c>
      <c r="M57" s="103"/>
      <c r="N57" s="41"/>
      <c r="O57" s="41"/>
      <c r="P57" s="41"/>
      <c r="Q57" s="41"/>
      <c r="R57" s="41" t="s">
        <v>256</v>
      </c>
      <c r="S57"/>
      <c r="T57" s="4"/>
      <c r="U57" s="4"/>
    </row>
    <row r="58" spans="1:21" s="5" customFormat="1" x14ac:dyDescent="0.2">
      <c r="A58" s="48" t="s">
        <v>252</v>
      </c>
      <c r="B58" s="52">
        <f>$C$60-C58</f>
        <v>3.4722222222222099E-3</v>
      </c>
      <c r="C58" s="52">
        <f>$C$60-TIME(0,5,0)</f>
        <v>0.79305555555555562</v>
      </c>
      <c r="D58" s="48"/>
      <c r="E58" s="52"/>
      <c r="F58" s="18" t="s">
        <v>275</v>
      </c>
      <c r="G58" s="18" t="s">
        <v>269</v>
      </c>
      <c r="H58" s="18"/>
      <c r="I58" s="18" t="s">
        <v>254</v>
      </c>
      <c r="J58" s="18" t="s">
        <v>854</v>
      </c>
      <c r="K58" s="37"/>
      <c r="L58" s="105">
        <f t="shared" si="12"/>
        <v>0.79305555555555562</v>
      </c>
      <c r="M58" s="105"/>
      <c r="N58" s="38"/>
      <c r="O58" s="38" t="s">
        <v>256</v>
      </c>
      <c r="P58" s="38" t="s">
        <v>256</v>
      </c>
      <c r="Q58" s="38" t="s">
        <v>256</v>
      </c>
      <c r="R58" s="38"/>
      <c r="S58"/>
      <c r="T58" s="4"/>
      <c r="U58" s="4"/>
    </row>
    <row r="59" spans="1:21" s="5" customFormat="1" x14ac:dyDescent="0.2">
      <c r="A59" s="48" t="s">
        <v>252</v>
      </c>
      <c r="B59" s="52">
        <f>$C$60-C59</f>
        <v>1.0416666666667185E-3</v>
      </c>
      <c r="C59" s="52">
        <f>$C$60-TIME(0,1,30)</f>
        <v>0.79548611111111112</v>
      </c>
      <c r="D59" s="52">
        <f>E59-C59</f>
        <v>1.0416666666667185E-3</v>
      </c>
      <c r="E59" s="52">
        <f>$C$60</f>
        <v>0.79652777777777783</v>
      </c>
      <c r="F59" s="18" t="s">
        <v>277</v>
      </c>
      <c r="G59" s="18" t="s">
        <v>39</v>
      </c>
      <c r="H59" s="18"/>
      <c r="I59" s="18" t="s">
        <v>254</v>
      </c>
      <c r="J59" s="18" t="s">
        <v>854</v>
      </c>
      <c r="K59" s="37"/>
      <c r="L59" s="105">
        <f t="shared" si="12"/>
        <v>0.79548611111111112</v>
      </c>
      <c r="M59" s="105">
        <f t="shared" ref="M59:M79" si="13">E59</f>
        <v>0.79652777777777783</v>
      </c>
      <c r="N59" s="38"/>
      <c r="O59" s="38" t="s">
        <v>256</v>
      </c>
      <c r="P59" s="38" t="s">
        <v>256</v>
      </c>
      <c r="Q59" s="38" t="s">
        <v>256</v>
      </c>
      <c r="R59" s="38"/>
      <c r="S59"/>
      <c r="T59" s="4"/>
      <c r="U59" s="4"/>
    </row>
    <row r="60" spans="1:21" s="5" customFormat="1" x14ac:dyDescent="0.2">
      <c r="A60" s="43"/>
      <c r="B60" s="43"/>
      <c r="C60" s="57">
        <v>0.79652777777777783</v>
      </c>
      <c r="D60" s="43"/>
      <c r="E60" s="54"/>
      <c r="F60" s="32" t="s">
        <v>60</v>
      </c>
      <c r="G60" s="42"/>
      <c r="H60" s="42"/>
      <c r="I60" s="42" t="s">
        <v>254</v>
      </c>
      <c r="J60" s="42" t="s">
        <v>854</v>
      </c>
      <c r="K60" s="42"/>
      <c r="L60" s="104">
        <f t="shared" si="12"/>
        <v>0.79652777777777783</v>
      </c>
      <c r="M60" s="104"/>
      <c r="N60" s="43"/>
      <c r="O60" s="43" t="s">
        <v>256</v>
      </c>
      <c r="P60" s="43" t="s">
        <v>256</v>
      </c>
      <c r="Q60" s="43" t="s">
        <v>256</v>
      </c>
      <c r="R60" s="43" t="s">
        <v>256</v>
      </c>
      <c r="S60"/>
      <c r="T60" s="4"/>
      <c r="U60" s="4"/>
    </row>
    <row r="61" spans="1:21" s="5" customFormat="1" x14ac:dyDescent="0.2">
      <c r="A61" s="48" t="s">
        <v>279</v>
      </c>
      <c r="B61" s="52">
        <f>C61-$C$60</f>
        <v>0</v>
      </c>
      <c r="C61" s="52">
        <f>'[1]Day 6-F '!$C$11</f>
        <v>0.79652777777777783</v>
      </c>
      <c r="D61" s="50">
        <f t="shared" ref="D61:D82" si="14">E61-C61</f>
        <v>5.1157407407408373E-3</v>
      </c>
      <c r="E61" s="52">
        <f>'[1]Day 6-F '!$C$15</f>
        <v>0.80164351851851867</v>
      </c>
      <c r="F61" s="7" t="s">
        <v>855</v>
      </c>
      <c r="G61" s="18" t="s">
        <v>269</v>
      </c>
      <c r="H61" s="18"/>
      <c r="I61" s="18" t="s">
        <v>254</v>
      </c>
      <c r="J61" s="18" t="s">
        <v>854</v>
      </c>
      <c r="K61" s="61" t="str">
        <f>[2]EVENT_UNIT!$A$7105</f>
        <v>SWMM200MIM------------FNL-000100--</v>
      </c>
      <c r="L61" s="107">
        <f t="shared" si="12"/>
        <v>0.79652777777777783</v>
      </c>
      <c r="M61" s="105">
        <f t="shared" si="13"/>
        <v>0.80164351851851867</v>
      </c>
      <c r="N61" s="38"/>
      <c r="O61" s="38" t="s">
        <v>256</v>
      </c>
      <c r="P61" s="38" t="s">
        <v>256</v>
      </c>
      <c r="Q61" s="38" t="s">
        <v>256</v>
      </c>
      <c r="R61" s="38"/>
      <c r="S61"/>
      <c r="T61" s="4"/>
      <c r="U61" s="4"/>
    </row>
    <row r="62" spans="1:21" s="5" customFormat="1" x14ac:dyDescent="0.2">
      <c r="A62" s="48" t="s">
        <v>279</v>
      </c>
      <c r="B62" s="52">
        <f t="shared" ref="B62:B79" si="15">C62-$C$60</f>
        <v>5.1157407407408373E-3</v>
      </c>
      <c r="C62" s="52">
        <f>'[1]Day 6-F '!$C$15</f>
        <v>0.80164351851851867</v>
      </c>
      <c r="D62" s="50">
        <f t="shared" si="14"/>
        <v>5.5555555555556468E-3</v>
      </c>
      <c r="E62" s="52">
        <f>'[1]Day 6-F '!$C$19</f>
        <v>0.80719907407407432</v>
      </c>
      <c r="F62" s="7" t="s">
        <v>856</v>
      </c>
      <c r="G62" s="18" t="s">
        <v>269</v>
      </c>
      <c r="H62" s="18"/>
      <c r="I62" s="18" t="s">
        <v>254</v>
      </c>
      <c r="J62" s="18" t="s">
        <v>854</v>
      </c>
      <c r="K62" s="61" t="s">
        <v>857</v>
      </c>
      <c r="L62" s="107">
        <f t="shared" si="12"/>
        <v>0.80164351851851867</v>
      </c>
      <c r="M62" s="105">
        <f t="shared" si="13"/>
        <v>0.80719907407407432</v>
      </c>
      <c r="N62" s="38"/>
      <c r="O62" s="38" t="s">
        <v>256</v>
      </c>
      <c r="P62" s="38" t="s">
        <v>256</v>
      </c>
      <c r="Q62" s="38" t="s">
        <v>256</v>
      </c>
      <c r="R62" s="38"/>
      <c r="S62"/>
      <c r="T62" s="4"/>
      <c r="U62" s="4"/>
    </row>
    <row r="63" spans="1:21" s="5" customFormat="1" x14ac:dyDescent="0.2">
      <c r="A63" s="48" t="s">
        <v>279</v>
      </c>
      <c r="B63" s="52">
        <f t="shared" si="15"/>
        <v>1.0671296296296484E-2</v>
      </c>
      <c r="C63" s="52">
        <f>'[1]Day 6-F '!$C$19</f>
        <v>0.80719907407407432</v>
      </c>
      <c r="D63" s="50">
        <f t="shared" si="14"/>
        <v>5.5092592592593803E-3</v>
      </c>
      <c r="E63" s="52">
        <f>'[1]Day 6-F '!$C$23</f>
        <v>0.8127083333333337</v>
      </c>
      <c r="F63" s="7" t="s">
        <v>858</v>
      </c>
      <c r="G63" s="18" t="s">
        <v>269</v>
      </c>
      <c r="H63" s="18"/>
      <c r="I63" s="18" t="s">
        <v>254</v>
      </c>
      <c r="J63" s="18" t="s">
        <v>854</v>
      </c>
      <c r="K63" s="61" t="s">
        <v>859</v>
      </c>
      <c r="L63" s="107">
        <f t="shared" si="12"/>
        <v>0.80719907407407432</v>
      </c>
      <c r="M63" s="105">
        <f t="shared" si="13"/>
        <v>0.8127083333333337</v>
      </c>
      <c r="N63" s="38"/>
      <c r="O63" s="38" t="s">
        <v>256</v>
      </c>
      <c r="P63" s="38" t="s">
        <v>256</v>
      </c>
      <c r="Q63" s="38" t="s">
        <v>256</v>
      </c>
      <c r="R63" s="38"/>
      <c r="S63"/>
      <c r="T63" s="4"/>
      <c r="U63" s="4"/>
    </row>
    <row r="64" spans="1:21" s="5" customFormat="1" x14ac:dyDescent="0.2">
      <c r="A64" s="48" t="s">
        <v>279</v>
      </c>
      <c r="B64" s="52">
        <f t="shared" si="15"/>
        <v>1.6180555555555864E-2</v>
      </c>
      <c r="C64" s="52">
        <f>'[1]Day 6-F '!$C$23</f>
        <v>0.8127083333333337</v>
      </c>
      <c r="D64" s="50">
        <f t="shared" si="14"/>
        <v>5.2083333333333703E-3</v>
      </c>
      <c r="E64" s="52">
        <f>'[1]Day 6-F '!$C$24</f>
        <v>0.81791666666666707</v>
      </c>
      <c r="F64" s="34" t="s">
        <v>860</v>
      </c>
      <c r="G64" s="18" t="s">
        <v>269</v>
      </c>
      <c r="H64" s="18"/>
      <c r="I64" s="18" t="s">
        <v>254</v>
      </c>
      <c r="J64" s="18" t="s">
        <v>854</v>
      </c>
      <c r="K64" s="44" t="s">
        <v>861</v>
      </c>
      <c r="L64" s="107">
        <f t="shared" si="12"/>
        <v>0.8127083333333337</v>
      </c>
      <c r="M64" s="105">
        <f t="shared" si="13"/>
        <v>0.81791666666666707</v>
      </c>
      <c r="N64" s="38"/>
      <c r="O64" s="38" t="s">
        <v>256</v>
      </c>
      <c r="P64" s="38" t="s">
        <v>256</v>
      </c>
      <c r="Q64" s="38" t="s">
        <v>256</v>
      </c>
      <c r="R64" s="38"/>
      <c r="S64"/>
      <c r="T64" s="4"/>
      <c r="U64" s="4"/>
    </row>
    <row r="65" spans="1:21" s="5" customFormat="1" x14ac:dyDescent="0.2">
      <c r="A65" s="48" t="s">
        <v>279</v>
      </c>
      <c r="B65" s="52">
        <f t="shared" si="15"/>
        <v>2.1388888888889235E-2</v>
      </c>
      <c r="C65" s="52">
        <f>'[1]Day 6-F '!$C$24</f>
        <v>0.81791666666666707</v>
      </c>
      <c r="D65" s="50">
        <f t="shared" si="14"/>
        <v>5.2083333333333703E-3</v>
      </c>
      <c r="E65" s="52">
        <f>'[1]Day 6-F '!$C$25</f>
        <v>0.82312500000000044</v>
      </c>
      <c r="F65" s="34" t="s">
        <v>862</v>
      </c>
      <c r="G65" s="18" t="s">
        <v>269</v>
      </c>
      <c r="H65" s="18"/>
      <c r="I65" s="18" t="s">
        <v>254</v>
      </c>
      <c r="J65" s="18" t="s">
        <v>854</v>
      </c>
      <c r="K65" s="44" t="s">
        <v>863</v>
      </c>
      <c r="L65" s="107">
        <f t="shared" si="12"/>
        <v>0.81791666666666707</v>
      </c>
      <c r="M65" s="105">
        <f t="shared" si="13"/>
        <v>0.82312500000000044</v>
      </c>
      <c r="N65" s="38"/>
      <c r="O65" s="38" t="s">
        <v>256</v>
      </c>
      <c r="P65" s="38" t="s">
        <v>256</v>
      </c>
      <c r="Q65" s="38" t="s">
        <v>256</v>
      </c>
      <c r="R65" s="38"/>
      <c r="S65"/>
      <c r="T65" s="4"/>
      <c r="U65" s="4"/>
    </row>
    <row r="66" spans="1:21" s="5" customFormat="1" x14ac:dyDescent="0.2">
      <c r="A66" s="48" t="s">
        <v>279</v>
      </c>
      <c r="B66" s="52">
        <f t="shared" si="15"/>
        <v>2.6597222222222605E-2</v>
      </c>
      <c r="C66" s="52">
        <f>'[1]Day 6-F '!$C$25</f>
        <v>0.82312500000000044</v>
      </c>
      <c r="D66" s="50">
        <f t="shared" si="14"/>
        <v>3.9699074074075469E-3</v>
      </c>
      <c r="E66" s="52">
        <f>'[1]Day 6-F '!$C$29</f>
        <v>0.82709490740740799</v>
      </c>
      <c r="F66" s="7" t="s">
        <v>864</v>
      </c>
      <c r="G66" s="18" t="s">
        <v>269</v>
      </c>
      <c r="H66" s="18"/>
      <c r="I66" s="18" t="s">
        <v>254</v>
      </c>
      <c r="J66" s="18" t="s">
        <v>854</v>
      </c>
      <c r="K66" s="5" t="s">
        <v>865</v>
      </c>
      <c r="L66" s="107">
        <f t="shared" si="12"/>
        <v>0.82312500000000044</v>
      </c>
      <c r="M66" s="105">
        <f t="shared" si="13"/>
        <v>0.82709490740740799</v>
      </c>
      <c r="N66" s="38"/>
      <c r="O66" s="38" t="s">
        <v>256</v>
      </c>
      <c r="P66" s="38" t="s">
        <v>256</v>
      </c>
      <c r="Q66" s="38" t="s">
        <v>256</v>
      </c>
      <c r="R66" s="38"/>
      <c r="S66"/>
      <c r="T66" s="4"/>
      <c r="U66" s="4"/>
    </row>
    <row r="67" spans="1:21" s="5" customFormat="1" x14ac:dyDescent="0.2">
      <c r="A67" s="48" t="s">
        <v>279</v>
      </c>
      <c r="B67" s="52">
        <f t="shared" si="15"/>
        <v>3.0567129629630152E-2</v>
      </c>
      <c r="C67" s="52">
        <f>'[1]Day 6-F '!$C$29</f>
        <v>0.82709490740740799</v>
      </c>
      <c r="D67" s="50">
        <f t="shared" si="14"/>
        <v>4.155092592592724E-3</v>
      </c>
      <c r="E67" s="52">
        <f>'[1]Day 6-F '!$C$33</f>
        <v>0.83125000000000071</v>
      </c>
      <c r="F67" s="7" t="s">
        <v>866</v>
      </c>
      <c r="G67" s="18" t="s">
        <v>269</v>
      </c>
      <c r="H67" s="18"/>
      <c r="I67" s="18" t="s">
        <v>254</v>
      </c>
      <c r="J67" s="18" t="s">
        <v>854</v>
      </c>
      <c r="K67" s="44" t="s">
        <v>867</v>
      </c>
      <c r="L67" s="107">
        <f t="shared" si="12"/>
        <v>0.82709490740740799</v>
      </c>
      <c r="M67" s="105">
        <f t="shared" si="13"/>
        <v>0.83125000000000071</v>
      </c>
      <c r="N67" s="38"/>
      <c r="O67" s="38" t="s">
        <v>256</v>
      </c>
      <c r="P67" s="38" t="s">
        <v>256</v>
      </c>
      <c r="Q67" s="38" t="s">
        <v>256</v>
      </c>
      <c r="R67" s="38"/>
      <c r="S67"/>
      <c r="T67" s="4"/>
      <c r="U67" s="4"/>
    </row>
    <row r="68" spans="1:21" s="5" customFormat="1" x14ac:dyDescent="0.2">
      <c r="A68" s="48" t="s">
        <v>279</v>
      </c>
      <c r="B68" s="52">
        <f t="shared" si="15"/>
        <v>3.4722222222222876E-2</v>
      </c>
      <c r="C68" s="52">
        <f>'[1]Day 6-F '!$C$33</f>
        <v>0.83125000000000071</v>
      </c>
      <c r="D68" s="50">
        <f t="shared" si="14"/>
        <v>5.2083333333333703E-3</v>
      </c>
      <c r="E68" s="52">
        <f>'[1]Day 6-F '!$C$34</f>
        <v>0.83645833333333408</v>
      </c>
      <c r="F68" s="34" t="s">
        <v>868</v>
      </c>
      <c r="G68" s="18" t="s">
        <v>269</v>
      </c>
      <c r="H68" s="18"/>
      <c r="I68" s="18" t="s">
        <v>254</v>
      </c>
      <c r="J68" s="18" t="s">
        <v>854</v>
      </c>
      <c r="K68" s="44" t="s">
        <v>869</v>
      </c>
      <c r="L68" s="107">
        <f t="shared" si="12"/>
        <v>0.83125000000000071</v>
      </c>
      <c r="M68" s="105">
        <f t="shared" si="13"/>
        <v>0.83645833333333408</v>
      </c>
      <c r="N68" s="38"/>
      <c r="O68" s="38" t="s">
        <v>256</v>
      </c>
      <c r="P68" s="38" t="s">
        <v>256</v>
      </c>
      <c r="Q68" s="38" t="s">
        <v>256</v>
      </c>
      <c r="R68" s="38"/>
      <c r="S68"/>
      <c r="T68" s="4"/>
      <c r="U68" s="4"/>
    </row>
    <row r="69" spans="1:21" s="5" customFormat="1" x14ac:dyDescent="0.2">
      <c r="A69" s="48" t="s">
        <v>279</v>
      </c>
      <c r="B69" s="52">
        <f t="shared" si="15"/>
        <v>3.9930555555556246E-2</v>
      </c>
      <c r="C69" s="52">
        <f>'[1]Day 6-F '!$C$34</f>
        <v>0.83645833333333408</v>
      </c>
      <c r="D69" s="50">
        <f t="shared" si="14"/>
        <v>5.2083333333333703E-3</v>
      </c>
      <c r="E69" s="52">
        <f>'[1]Day 6-F '!$C$35</f>
        <v>0.84166666666666745</v>
      </c>
      <c r="F69" s="34" t="s">
        <v>870</v>
      </c>
      <c r="G69" s="18" t="s">
        <v>269</v>
      </c>
      <c r="H69" s="18"/>
      <c r="I69" s="18" t="s">
        <v>254</v>
      </c>
      <c r="J69" s="18" t="s">
        <v>854</v>
      </c>
      <c r="K69" s="44" t="s">
        <v>871</v>
      </c>
      <c r="L69" s="107">
        <f t="shared" si="12"/>
        <v>0.83645833333333408</v>
      </c>
      <c r="M69" s="105">
        <f t="shared" si="13"/>
        <v>0.84166666666666745</v>
      </c>
      <c r="N69" s="38"/>
      <c r="O69" s="38" t="s">
        <v>256</v>
      </c>
      <c r="P69" s="38" t="s">
        <v>256</v>
      </c>
      <c r="Q69" s="38" t="s">
        <v>256</v>
      </c>
      <c r="R69" s="38"/>
      <c r="S69"/>
      <c r="T69" s="4"/>
      <c r="U69" s="4"/>
    </row>
    <row r="70" spans="1:21" s="5" customFormat="1" x14ac:dyDescent="0.2">
      <c r="A70" s="48" t="s">
        <v>279</v>
      </c>
      <c r="B70" s="52">
        <f t="shared" si="15"/>
        <v>4.5138888888889617E-2</v>
      </c>
      <c r="C70" s="52">
        <f>'[1]Day 6-F '!$C$35</f>
        <v>0.84166666666666745</v>
      </c>
      <c r="D70" s="50">
        <f t="shared" si="14"/>
        <v>1.5127314814814885E-2</v>
      </c>
      <c r="E70" s="52">
        <f>'[1]Day 6-F '!$C$39</f>
        <v>0.85679398148148234</v>
      </c>
      <c r="F70" s="7" t="s">
        <v>872</v>
      </c>
      <c r="G70" s="18" t="s">
        <v>269</v>
      </c>
      <c r="H70" s="18"/>
      <c r="I70" s="18" t="s">
        <v>254</v>
      </c>
      <c r="J70" s="18" t="s">
        <v>854</v>
      </c>
      <c r="K70" s="44" t="s">
        <v>873</v>
      </c>
      <c r="L70" s="107">
        <f t="shared" si="12"/>
        <v>0.84166666666666745</v>
      </c>
      <c r="M70" s="105">
        <f t="shared" si="13"/>
        <v>0.85679398148148234</v>
      </c>
      <c r="N70" s="38"/>
      <c r="O70" s="38" t="s">
        <v>256</v>
      </c>
      <c r="P70" s="38" t="s">
        <v>256</v>
      </c>
      <c r="Q70" s="38" t="s">
        <v>256</v>
      </c>
      <c r="R70" s="38"/>
      <c r="S70"/>
      <c r="T70" s="4"/>
      <c r="U70" s="4"/>
    </row>
    <row r="71" spans="1:21" s="5" customFormat="1" x14ac:dyDescent="0.2">
      <c r="A71" s="48" t="s">
        <v>279</v>
      </c>
      <c r="B71" s="52">
        <f t="shared" si="15"/>
        <v>6.0266203703704502E-2</v>
      </c>
      <c r="C71" s="52">
        <f>'[1]Day 6-F '!$C$39</f>
        <v>0.85679398148148234</v>
      </c>
      <c r="D71" s="50">
        <f t="shared" si="14"/>
        <v>5.2083333333333703E-3</v>
      </c>
      <c r="E71" s="52">
        <f>'[1]Day 6-F '!$C$40</f>
        <v>0.86200231481481571</v>
      </c>
      <c r="F71" s="34" t="s">
        <v>874</v>
      </c>
      <c r="G71" s="18" t="s">
        <v>269</v>
      </c>
      <c r="H71" s="18"/>
      <c r="I71" s="18" t="s">
        <v>254</v>
      </c>
      <c r="J71" s="18" t="s">
        <v>854</v>
      </c>
      <c r="K71" s="18" t="s">
        <v>875</v>
      </c>
      <c r="L71" s="105">
        <f t="shared" si="12"/>
        <v>0.85679398148148234</v>
      </c>
      <c r="M71" s="105">
        <f t="shared" si="13"/>
        <v>0.86200231481481571</v>
      </c>
      <c r="N71" s="38"/>
      <c r="O71" s="38" t="s">
        <v>256</v>
      </c>
      <c r="P71" s="38" t="s">
        <v>256</v>
      </c>
      <c r="Q71" s="38" t="s">
        <v>256</v>
      </c>
      <c r="R71" s="38"/>
      <c r="S71"/>
      <c r="T71" s="4"/>
      <c r="U71" s="4"/>
    </row>
    <row r="72" spans="1:21" s="5" customFormat="1" x14ac:dyDescent="0.2">
      <c r="A72" s="48" t="s">
        <v>279</v>
      </c>
      <c r="B72" s="52">
        <f t="shared" si="15"/>
        <v>6.5474537037037872E-2</v>
      </c>
      <c r="C72" s="52">
        <f>'[1]Day 6-F '!$C$40</f>
        <v>0.86200231481481571</v>
      </c>
      <c r="D72" s="50">
        <f t="shared" si="14"/>
        <v>5.2083333333333703E-3</v>
      </c>
      <c r="E72" s="52">
        <f>'[1]Day 6-F '!$C$41</f>
        <v>0.86721064814814908</v>
      </c>
      <c r="F72" s="34" t="s">
        <v>876</v>
      </c>
      <c r="G72" s="18" t="s">
        <v>269</v>
      </c>
      <c r="H72" s="18"/>
      <c r="I72" s="18" t="s">
        <v>254</v>
      </c>
      <c r="J72" s="18" t="s">
        <v>854</v>
      </c>
      <c r="K72" s="18" t="s">
        <v>877</v>
      </c>
      <c r="L72" s="105">
        <f t="shared" si="12"/>
        <v>0.86200231481481571</v>
      </c>
      <c r="M72" s="105">
        <f t="shared" si="13"/>
        <v>0.86721064814814908</v>
      </c>
      <c r="N72" s="38"/>
      <c r="O72" s="38" t="s">
        <v>256</v>
      </c>
      <c r="P72" s="38" t="s">
        <v>256</v>
      </c>
      <c r="Q72" s="38" t="s">
        <v>256</v>
      </c>
      <c r="R72" s="38"/>
      <c r="S72"/>
      <c r="T72" s="4"/>
      <c r="U72" s="4"/>
    </row>
    <row r="73" spans="1:21" s="5" customFormat="1" x14ac:dyDescent="0.2">
      <c r="A73" s="48" t="s">
        <v>279</v>
      </c>
      <c r="B73" s="52">
        <f t="shared" si="15"/>
        <v>7.0682870370371242E-2</v>
      </c>
      <c r="C73" s="52">
        <f>'[1]Day 6-F '!$C$41</f>
        <v>0.86721064814814908</v>
      </c>
      <c r="D73" s="50">
        <f t="shared" si="14"/>
        <v>6.6666666666667096E-3</v>
      </c>
      <c r="E73" s="52">
        <f>'[1]Day 6-F '!$C$45</f>
        <v>0.87387731481481579</v>
      </c>
      <c r="F73" s="7" t="s">
        <v>878</v>
      </c>
      <c r="G73" s="18" t="s">
        <v>269</v>
      </c>
      <c r="H73" s="18"/>
      <c r="I73" s="18" t="s">
        <v>254</v>
      </c>
      <c r="J73" s="18" t="s">
        <v>854</v>
      </c>
      <c r="K73" s="18" t="s">
        <v>879</v>
      </c>
      <c r="L73" s="105">
        <f t="shared" si="12"/>
        <v>0.86721064814814908</v>
      </c>
      <c r="M73" s="105">
        <f t="shared" si="13"/>
        <v>0.87387731481481579</v>
      </c>
      <c r="N73" s="38"/>
      <c r="O73" s="38" t="s">
        <v>256</v>
      </c>
      <c r="P73" s="38" t="s">
        <v>256</v>
      </c>
      <c r="Q73" s="38" t="s">
        <v>256</v>
      </c>
      <c r="R73" s="38"/>
      <c r="S73"/>
      <c r="T73" s="4"/>
      <c r="U73" s="4"/>
    </row>
    <row r="74" spans="1:21" s="5" customFormat="1" x14ac:dyDescent="0.2">
      <c r="A74" s="48" t="s">
        <v>279</v>
      </c>
      <c r="B74" s="52">
        <f t="shared" si="15"/>
        <v>7.7349537037037952E-2</v>
      </c>
      <c r="C74" s="52">
        <f>'[1]Day 6-F '!$C$45</f>
        <v>0.87387731481481579</v>
      </c>
      <c r="D74" s="50">
        <f t="shared" si="14"/>
        <v>6.921296296296342E-3</v>
      </c>
      <c r="E74" s="52">
        <f>'[1]Day 6-F '!$C$49</f>
        <v>0.88079861111111213</v>
      </c>
      <c r="F74" s="7" t="s">
        <v>880</v>
      </c>
      <c r="G74" s="18" t="s">
        <v>269</v>
      </c>
      <c r="H74" s="18"/>
      <c r="I74" s="18" t="s">
        <v>254</v>
      </c>
      <c r="J74" s="18" t="s">
        <v>854</v>
      </c>
      <c r="K74" s="18" t="s">
        <v>881</v>
      </c>
      <c r="L74" s="105">
        <f t="shared" si="12"/>
        <v>0.87387731481481579</v>
      </c>
      <c r="M74" s="105">
        <f t="shared" si="13"/>
        <v>0.88079861111111213</v>
      </c>
      <c r="N74" s="38"/>
      <c r="O74" s="38" t="s">
        <v>256</v>
      </c>
      <c r="P74" s="38" t="s">
        <v>256</v>
      </c>
      <c r="Q74" s="38" t="s">
        <v>256</v>
      </c>
      <c r="R74" s="38"/>
      <c r="S74"/>
      <c r="T74" s="4"/>
      <c r="U74" s="4"/>
    </row>
    <row r="75" spans="1:21" s="5" customFormat="1" x14ac:dyDescent="0.2">
      <c r="A75" s="48" t="s">
        <v>279</v>
      </c>
      <c r="B75" s="52">
        <f t="shared" si="15"/>
        <v>8.4270833333334294E-2</v>
      </c>
      <c r="C75" s="52">
        <f>'[1]Day 6-F '!$C$49</f>
        <v>0.88079861111111213</v>
      </c>
      <c r="D75" s="50">
        <f t="shared" si="14"/>
        <v>7.1875000000000133E-3</v>
      </c>
      <c r="E75" s="52">
        <f>'[1]Day 6-F '!$C$53</f>
        <v>0.88798611111111214</v>
      </c>
      <c r="F75" s="7" t="s">
        <v>882</v>
      </c>
      <c r="G75" s="18" t="s">
        <v>269</v>
      </c>
      <c r="H75" s="18"/>
      <c r="I75" s="18" t="s">
        <v>254</v>
      </c>
      <c r="J75" s="18" t="s">
        <v>854</v>
      </c>
      <c r="K75" s="18" t="s">
        <v>883</v>
      </c>
      <c r="L75" s="105">
        <f t="shared" si="12"/>
        <v>0.88079861111111213</v>
      </c>
      <c r="M75" s="105">
        <f t="shared" si="13"/>
        <v>0.88798611111111214</v>
      </c>
      <c r="N75" s="38"/>
      <c r="O75" s="38" t="s">
        <v>256</v>
      </c>
      <c r="P75" s="38" t="s">
        <v>256</v>
      </c>
      <c r="Q75" s="38" t="s">
        <v>256</v>
      </c>
      <c r="R75" s="38"/>
      <c r="S75"/>
      <c r="T75" s="4"/>
      <c r="U75" s="4"/>
    </row>
    <row r="76" spans="1:21" s="5" customFormat="1" x14ac:dyDescent="0.2">
      <c r="A76" s="48" t="s">
        <v>279</v>
      </c>
      <c r="B76" s="52">
        <f t="shared" si="15"/>
        <v>9.1458333333334307E-2</v>
      </c>
      <c r="C76" s="52">
        <f>'[1]Day 6-F '!$C$53</f>
        <v>0.88798611111111214</v>
      </c>
      <c r="D76" s="50">
        <f t="shared" si="14"/>
        <v>5.2083333333333703E-3</v>
      </c>
      <c r="E76" s="52">
        <f>'[1]Day 6-F '!$C$54</f>
        <v>0.89319444444444551</v>
      </c>
      <c r="F76" s="34" t="s">
        <v>884</v>
      </c>
      <c r="G76" s="18" t="s">
        <v>269</v>
      </c>
      <c r="H76" s="18"/>
      <c r="I76" s="18" t="s">
        <v>254</v>
      </c>
      <c r="J76" s="18" t="s">
        <v>854</v>
      </c>
      <c r="K76" s="89" t="s">
        <v>885</v>
      </c>
      <c r="L76" s="105">
        <f t="shared" si="12"/>
        <v>0.88798611111111214</v>
      </c>
      <c r="M76" s="105">
        <f t="shared" si="13"/>
        <v>0.89319444444444551</v>
      </c>
      <c r="N76" s="38"/>
      <c r="O76" s="38" t="s">
        <v>256</v>
      </c>
      <c r="P76" s="38" t="s">
        <v>256</v>
      </c>
      <c r="Q76" s="38" t="s">
        <v>256</v>
      </c>
      <c r="R76" s="38"/>
      <c r="S76"/>
      <c r="T76" s="4"/>
      <c r="U76" s="4"/>
    </row>
    <row r="77" spans="1:21" s="5" customFormat="1" x14ac:dyDescent="0.2">
      <c r="A77" s="48" t="s">
        <v>279</v>
      </c>
      <c r="B77" s="52">
        <f t="shared" si="15"/>
        <v>9.6666666666667678E-2</v>
      </c>
      <c r="C77" s="52">
        <f>'[1]Day 6-F '!$C$54</f>
        <v>0.89319444444444551</v>
      </c>
      <c r="D77" s="50">
        <f t="shared" si="14"/>
        <v>6.2499999999999778E-3</v>
      </c>
      <c r="E77" s="52">
        <f>'[1]Day 6-F '!$C$55</f>
        <v>0.89944444444444549</v>
      </c>
      <c r="F77" s="34" t="s">
        <v>886</v>
      </c>
      <c r="G77" s="18" t="s">
        <v>269</v>
      </c>
      <c r="H77" s="18"/>
      <c r="I77" s="18" t="s">
        <v>254</v>
      </c>
      <c r="J77" s="18" t="s">
        <v>854</v>
      </c>
      <c r="K77" s="18" t="s">
        <v>887</v>
      </c>
      <c r="L77" s="105">
        <f t="shared" si="12"/>
        <v>0.89319444444444551</v>
      </c>
      <c r="M77" s="105">
        <f t="shared" si="13"/>
        <v>0.89944444444444549</v>
      </c>
      <c r="N77" s="38"/>
      <c r="O77" s="38" t="s">
        <v>256</v>
      </c>
      <c r="P77" s="38" t="s">
        <v>256</v>
      </c>
      <c r="Q77" s="38" t="s">
        <v>256</v>
      </c>
      <c r="R77" s="38"/>
      <c r="S77"/>
      <c r="T77" s="4"/>
      <c r="U77" s="4"/>
    </row>
    <row r="78" spans="1:21" s="5" customFormat="1" x14ac:dyDescent="0.2">
      <c r="A78" s="48" t="s">
        <v>279</v>
      </c>
      <c r="B78" s="52">
        <f t="shared" si="15"/>
        <v>0.10291666666666766</v>
      </c>
      <c r="C78" s="52">
        <f>'[1]Day 6-F '!$C$55</f>
        <v>0.89944444444444549</v>
      </c>
      <c r="D78" s="50">
        <f t="shared" si="14"/>
        <v>6.2499999999999778E-3</v>
      </c>
      <c r="E78" s="52">
        <f>'[1]Day 6-F '!$C$56</f>
        <v>0.90569444444444547</v>
      </c>
      <c r="F78" s="34" t="s">
        <v>888</v>
      </c>
      <c r="G78" s="18" t="s">
        <v>269</v>
      </c>
      <c r="H78" s="18"/>
      <c r="I78" s="18" t="s">
        <v>254</v>
      </c>
      <c r="J78" s="18" t="s">
        <v>854</v>
      </c>
      <c r="K78" s="18" t="s">
        <v>889</v>
      </c>
      <c r="L78" s="105">
        <f t="shared" si="12"/>
        <v>0.89944444444444549</v>
      </c>
      <c r="M78" s="105">
        <f t="shared" si="13"/>
        <v>0.90569444444444547</v>
      </c>
      <c r="N78" s="38"/>
      <c r="O78" s="38" t="s">
        <v>256</v>
      </c>
      <c r="P78" s="38" t="s">
        <v>256</v>
      </c>
      <c r="Q78" s="38" t="s">
        <v>256</v>
      </c>
      <c r="R78" s="38"/>
      <c r="S78"/>
      <c r="T78" s="4"/>
      <c r="U78" s="4"/>
    </row>
    <row r="79" spans="1:21" s="5" customFormat="1" x14ac:dyDescent="0.2">
      <c r="A79" s="48" t="s">
        <v>279</v>
      </c>
      <c r="B79" s="52">
        <f t="shared" si="15"/>
        <v>0.10916666666666763</v>
      </c>
      <c r="C79" s="52">
        <f>'[1]Day 6-F '!$C$56</f>
        <v>0.90569444444444547</v>
      </c>
      <c r="D79" s="50">
        <f t="shared" si="14"/>
        <v>1.0416666666667185E-3</v>
      </c>
      <c r="E79" s="52">
        <f>'[1]Day 6-F '!$C$57</f>
        <v>0.90673611111111219</v>
      </c>
      <c r="F79" s="18" t="s">
        <v>357</v>
      </c>
      <c r="G79" s="18" t="s">
        <v>269</v>
      </c>
      <c r="H79" s="18"/>
      <c r="I79" s="18" t="s">
        <v>254</v>
      </c>
      <c r="J79" s="18" t="s">
        <v>854</v>
      </c>
      <c r="K79" s="37"/>
      <c r="L79" s="105">
        <f t="shared" si="12"/>
        <v>0.90569444444444547</v>
      </c>
      <c r="M79" s="105">
        <f t="shared" si="13"/>
        <v>0.90673611111111219</v>
      </c>
      <c r="N79" s="38"/>
      <c r="O79" s="38" t="s">
        <v>256</v>
      </c>
      <c r="P79" s="38" t="s">
        <v>256</v>
      </c>
      <c r="Q79" s="38" t="s">
        <v>256</v>
      </c>
      <c r="R79" s="38"/>
      <c r="S79"/>
      <c r="T79" s="4"/>
      <c r="U79" s="4"/>
    </row>
    <row r="80" spans="1:21" s="5" customFormat="1" x14ac:dyDescent="0.2">
      <c r="A80" s="48" t="s">
        <v>279</v>
      </c>
      <c r="B80" s="52">
        <f>C80-$C$76</f>
        <v>1.8750000000000044E-2</v>
      </c>
      <c r="C80" s="52">
        <f>'[1]Day 6-F '!$C$57</f>
        <v>0.90673611111111219</v>
      </c>
      <c r="D80" s="50"/>
      <c r="E80" s="52"/>
      <c r="F80" s="20" t="s">
        <v>358</v>
      </c>
      <c r="G80" s="18" t="s">
        <v>269</v>
      </c>
      <c r="H80" s="18"/>
      <c r="I80" s="18" t="s">
        <v>254</v>
      </c>
      <c r="J80" s="18" t="s">
        <v>854</v>
      </c>
      <c r="K80" s="37"/>
      <c r="L80" s="105">
        <f t="shared" si="12"/>
        <v>0.90673611111111219</v>
      </c>
      <c r="M80" s="105"/>
      <c r="N80" s="38"/>
      <c r="O80" s="38" t="s">
        <v>256</v>
      </c>
      <c r="P80" s="38" t="s">
        <v>256</v>
      </c>
      <c r="Q80" s="38" t="s">
        <v>256</v>
      </c>
      <c r="R80" s="38"/>
      <c r="S80"/>
      <c r="T80" s="4"/>
      <c r="U80" s="4"/>
    </row>
    <row r="81" spans="1:21" s="5" customFormat="1" x14ac:dyDescent="0.2">
      <c r="A81" s="46"/>
      <c r="B81" s="46"/>
      <c r="C81" s="64">
        <v>0.91666666666666663</v>
      </c>
      <c r="D81" s="46"/>
      <c r="E81" s="55"/>
      <c r="F81" s="33" t="s">
        <v>62</v>
      </c>
      <c r="G81" s="45"/>
      <c r="H81" s="45"/>
      <c r="I81" s="45" t="s">
        <v>254</v>
      </c>
      <c r="J81" s="45" t="s">
        <v>854</v>
      </c>
      <c r="K81" s="45"/>
      <c r="L81" s="106">
        <f t="shared" si="12"/>
        <v>0.91666666666666663</v>
      </c>
      <c r="M81" s="109"/>
      <c r="N81" s="46"/>
      <c r="O81" s="46" t="s">
        <v>256</v>
      </c>
      <c r="P81" s="46" t="s">
        <v>256</v>
      </c>
      <c r="Q81" s="46" t="s">
        <v>256</v>
      </c>
      <c r="R81" s="46" t="s">
        <v>256</v>
      </c>
      <c r="S81"/>
      <c r="T81" s="4"/>
      <c r="U81" s="4"/>
    </row>
    <row r="82" spans="1:21" s="5" customFormat="1" x14ac:dyDescent="0.2">
      <c r="A82" s="48" t="s">
        <v>279</v>
      </c>
      <c r="B82" s="52">
        <f>C81-$C$60</f>
        <v>0.1201388888888888</v>
      </c>
      <c r="C82" s="52">
        <f>$C$81+TIME(0,0,0)</f>
        <v>0.91666666666666663</v>
      </c>
      <c r="D82" s="50">
        <f t="shared" si="14"/>
        <v>4.166666666666663E-2</v>
      </c>
      <c r="E82" s="52">
        <f>$C$81+TIME(1,0,0)</f>
        <v>0.95833333333333326</v>
      </c>
      <c r="F82" s="47" t="s">
        <v>359</v>
      </c>
      <c r="G82" s="18" t="s">
        <v>264</v>
      </c>
      <c r="H82" s="18"/>
      <c r="I82" s="18" t="s">
        <v>254</v>
      </c>
      <c r="J82" s="37"/>
      <c r="K82" s="37"/>
      <c r="L82" s="37"/>
      <c r="M82" s="37"/>
      <c r="N82" s="38"/>
      <c r="O82" s="38"/>
      <c r="P82" s="38"/>
      <c r="Q82" s="38"/>
      <c r="R82" s="38" t="s">
        <v>256</v>
      </c>
      <c r="S82"/>
      <c r="T82" s="4"/>
      <c r="U82" s="4"/>
    </row>
    <row r="83" spans="1:21" s="5" customFormat="1" x14ac:dyDescent="0.2">
      <c r="A83" s="48" t="s">
        <v>279</v>
      </c>
      <c r="B83" s="52">
        <f t="shared" ref="B83:B85" si="16">C82-$C$60</f>
        <v>0.1201388888888888</v>
      </c>
      <c r="C83" s="52">
        <v>0.9243055555555556</v>
      </c>
      <c r="D83" s="48"/>
      <c r="E83" s="52"/>
      <c r="F83" s="47" t="s">
        <v>65</v>
      </c>
      <c r="G83" s="18" t="s">
        <v>271</v>
      </c>
      <c r="H83" s="18"/>
      <c r="I83" s="18" t="s">
        <v>254</v>
      </c>
      <c r="J83" s="37"/>
      <c r="K83" s="37"/>
      <c r="L83" s="37"/>
      <c r="M83" s="37"/>
      <c r="N83" s="38"/>
      <c r="O83" s="38"/>
      <c r="P83" s="38"/>
      <c r="Q83" s="38"/>
      <c r="R83" s="38" t="s">
        <v>256</v>
      </c>
      <c r="S83"/>
      <c r="T83" s="4"/>
      <c r="U83" s="4"/>
    </row>
    <row r="84" spans="1:21" s="5" customFormat="1" x14ac:dyDescent="0.2">
      <c r="A84" s="48" t="s">
        <v>279</v>
      </c>
      <c r="B84" s="52">
        <f t="shared" si="16"/>
        <v>0.12777777777777777</v>
      </c>
      <c r="C84" s="52">
        <v>0.9375</v>
      </c>
      <c r="D84" s="48"/>
      <c r="E84" s="52"/>
      <c r="F84" s="62" t="s">
        <v>411</v>
      </c>
      <c r="G84" s="18" t="s">
        <v>261</v>
      </c>
      <c r="H84" s="18"/>
      <c r="I84" s="18" t="s">
        <v>254</v>
      </c>
      <c r="J84" s="37"/>
      <c r="K84" s="37"/>
      <c r="L84" s="37"/>
      <c r="M84" s="37"/>
      <c r="N84" s="38"/>
      <c r="O84" s="38"/>
      <c r="P84" s="38"/>
      <c r="Q84" s="38"/>
      <c r="R84" s="38" t="s">
        <v>256</v>
      </c>
      <c r="S84"/>
      <c r="T84" s="4"/>
      <c r="U84" s="4"/>
    </row>
    <row r="85" spans="1:21" s="5" customFormat="1" x14ac:dyDescent="0.2">
      <c r="A85" s="48" t="s">
        <v>279</v>
      </c>
      <c r="B85" s="52">
        <f t="shared" si="16"/>
        <v>0.14097222222222217</v>
      </c>
      <c r="C85" s="52">
        <f>$C$81+TIME(0,45,0)</f>
        <v>0.94791666666666663</v>
      </c>
      <c r="D85" s="48"/>
      <c r="E85" s="52"/>
      <c r="F85" s="18" t="s">
        <v>362</v>
      </c>
      <c r="G85" s="18" t="s">
        <v>271</v>
      </c>
      <c r="H85" s="18"/>
      <c r="I85" s="18" t="s">
        <v>254</v>
      </c>
      <c r="J85" s="37"/>
      <c r="K85" s="37"/>
      <c r="L85" s="37"/>
      <c r="M85" s="37"/>
      <c r="N85" s="38"/>
      <c r="O85" s="38"/>
      <c r="P85" s="38" t="s">
        <v>256</v>
      </c>
      <c r="Q85" s="38"/>
      <c r="R85" s="38" t="s">
        <v>256</v>
      </c>
      <c r="S85"/>
      <c r="T85" s="4"/>
      <c r="U85" s="4"/>
    </row>
    <row r="86" spans="1:21" s="5" customFormat="1" x14ac:dyDescent="0.2">
      <c r="A86" s="48" t="s">
        <v>279</v>
      </c>
      <c r="B86" s="52">
        <f>C85-$C$60</f>
        <v>0.1513888888888888</v>
      </c>
      <c r="C86" s="52">
        <f>$C$81+TIME(1,20,0)</f>
        <v>0.97222222222222221</v>
      </c>
      <c r="D86" s="48"/>
      <c r="E86" s="52"/>
      <c r="F86" s="47" t="s">
        <v>412</v>
      </c>
      <c r="G86" s="18"/>
      <c r="H86" s="18"/>
      <c r="I86" s="18" t="s">
        <v>254</v>
      </c>
      <c r="J86" s="37"/>
      <c r="K86" s="37"/>
      <c r="L86" s="37"/>
      <c r="M86" s="37"/>
      <c r="N86" s="38"/>
      <c r="O86" s="38"/>
      <c r="P86" s="38"/>
      <c r="Q86" s="38"/>
      <c r="R86" s="38"/>
      <c r="S86"/>
      <c r="T86" s="4"/>
      <c r="U86" s="4"/>
    </row>
    <row r="87" spans="1:21" s="5" customFormat="1" x14ac:dyDescent="0.2">
      <c r="A87" s="48" t="s">
        <v>279</v>
      </c>
      <c r="B87" s="52">
        <f>C86-$C$60</f>
        <v>0.17569444444444438</v>
      </c>
      <c r="C87" s="52">
        <f>$C$81+TIME(1,30,0)</f>
        <v>0.97916666666666663</v>
      </c>
      <c r="D87" s="48"/>
      <c r="E87" s="52"/>
      <c r="F87" s="20" t="s">
        <v>67</v>
      </c>
      <c r="G87" s="18"/>
      <c r="H87" s="18"/>
      <c r="I87" s="18" t="s">
        <v>254</v>
      </c>
      <c r="J87" s="37"/>
      <c r="K87" s="37"/>
      <c r="L87" s="37"/>
      <c r="M87" s="37"/>
      <c r="N87" s="38"/>
      <c r="O87" s="38"/>
      <c r="P87" s="38"/>
      <c r="Q87" s="38"/>
      <c r="R87" s="38" t="s">
        <v>256</v>
      </c>
      <c r="S87"/>
      <c r="T87" s="4"/>
      <c r="U87" s="4"/>
    </row>
    <row r="88" spans="1:21" s="5" customFormat="1" x14ac:dyDescent="0.2">
      <c r="A88" s="48" t="s">
        <v>279</v>
      </c>
      <c r="B88" s="52">
        <f>C87-$C$60</f>
        <v>0.1826388888888888</v>
      </c>
      <c r="C88" s="52">
        <v>0.98958333333333337</v>
      </c>
      <c r="D88" s="48"/>
      <c r="E88" s="52"/>
      <c r="F88" s="47" t="s">
        <v>361</v>
      </c>
      <c r="G88" s="18"/>
      <c r="H88" s="18"/>
      <c r="I88" s="18" t="s">
        <v>254</v>
      </c>
      <c r="J88" s="37"/>
      <c r="K88" s="37"/>
      <c r="L88" s="37"/>
      <c r="M88" s="37"/>
      <c r="N88" s="38"/>
      <c r="O88" s="38"/>
      <c r="P88" s="38"/>
      <c r="Q88" s="38"/>
      <c r="R88" s="38"/>
      <c r="S88"/>
      <c r="T88" s="4"/>
      <c r="U88" s="4"/>
    </row>
    <row r="89" spans="1:21" s="5" customFormat="1" x14ac:dyDescent="0.2">
      <c r="A89" s="48" t="s">
        <v>279</v>
      </c>
      <c r="B89" s="52">
        <f>C88-$C$60</f>
        <v>0.19305555555555554</v>
      </c>
      <c r="C89" s="98"/>
      <c r="D89" s="48"/>
      <c r="E89" s="52"/>
      <c r="F89" s="47" t="s">
        <v>413</v>
      </c>
      <c r="G89" s="18"/>
      <c r="H89" s="18"/>
      <c r="I89" s="18" t="s">
        <v>254</v>
      </c>
      <c r="J89" s="37"/>
      <c r="K89" s="37"/>
      <c r="L89" s="37"/>
      <c r="M89" s="37"/>
      <c r="N89" s="38"/>
      <c r="O89" s="38"/>
      <c r="P89" s="38"/>
      <c r="Q89" s="38"/>
      <c r="R89" s="38"/>
      <c r="S89"/>
      <c r="T89" s="4"/>
      <c r="U89" s="4"/>
    </row>
    <row r="90" spans="1:21" s="5" customFormat="1" x14ac:dyDescent="0.2">
      <c r="A90" s="48" t="s">
        <v>279</v>
      </c>
      <c r="B90" s="52"/>
      <c r="C90" s="52">
        <v>1</v>
      </c>
      <c r="D90" s="48"/>
      <c r="E90" s="52"/>
      <c r="F90" s="18" t="s">
        <v>414</v>
      </c>
      <c r="G90" s="18"/>
      <c r="H90" s="18"/>
      <c r="I90" s="18" t="s">
        <v>254</v>
      </c>
      <c r="J90" s="37"/>
      <c r="K90" s="37"/>
      <c r="L90" s="37"/>
      <c r="M90" s="37"/>
      <c r="N90" s="38"/>
      <c r="O90" s="38"/>
      <c r="P90" s="38"/>
      <c r="Q90" s="38"/>
      <c r="R90" s="38" t="s">
        <v>256</v>
      </c>
      <c r="S90"/>
      <c r="T90" s="4"/>
      <c r="U90" s="4"/>
    </row>
    <row r="91" spans="1:21" s="5" customFormat="1" x14ac:dyDescent="0.2">
      <c r="A91" s="48" t="s">
        <v>279</v>
      </c>
      <c r="B91" s="52"/>
      <c r="C91" s="52"/>
      <c r="D91" s="48"/>
      <c r="E91" s="52"/>
      <c r="F91" s="18" t="s">
        <v>415</v>
      </c>
      <c r="G91" s="18"/>
      <c r="H91" s="18"/>
      <c r="I91" s="18" t="s">
        <v>254</v>
      </c>
      <c r="J91" s="37"/>
      <c r="K91" s="37"/>
      <c r="L91" s="37"/>
      <c r="M91" s="37"/>
      <c r="N91" s="38"/>
      <c r="O91" s="38"/>
      <c r="P91" s="38"/>
      <c r="Q91" s="38"/>
      <c r="R91" s="38" t="s">
        <v>256</v>
      </c>
      <c r="S91"/>
      <c r="T91" s="4"/>
      <c r="U91" s="4"/>
    </row>
    <row r="92" spans="1:21" s="5" customFormat="1" x14ac:dyDescent="0.2">
      <c r="A92" s="2"/>
      <c r="B92" s="2"/>
      <c r="C92" s="56"/>
      <c r="D92" s="2"/>
      <c r="E92" s="56"/>
      <c r="F92"/>
      <c r="G92"/>
      <c r="H92"/>
      <c r="I92"/>
      <c r="J92"/>
      <c r="K92"/>
      <c r="L92"/>
      <c r="M92"/>
      <c r="N92" s="2"/>
      <c r="O92" s="2"/>
      <c r="P92" s="2"/>
      <c r="Q92" s="2"/>
      <c r="R92" s="2"/>
      <c r="S92"/>
      <c r="T92" s="4"/>
      <c r="U92" s="4"/>
    </row>
    <row r="93" spans="1:21" s="5" customFormat="1" x14ac:dyDescent="0.2">
      <c r="A93" s="2"/>
      <c r="B93" s="2"/>
      <c r="C93" s="56"/>
      <c r="D93" s="2"/>
      <c r="E93" s="56"/>
      <c r="F93"/>
      <c r="G93"/>
      <c r="H93"/>
      <c r="I93"/>
      <c r="J93"/>
      <c r="K93"/>
      <c r="L93"/>
      <c r="M93"/>
      <c r="N93" s="2"/>
      <c r="O93" s="2"/>
      <c r="P93" s="2"/>
      <c r="Q93" s="2"/>
      <c r="R93" s="2"/>
      <c r="S93"/>
      <c r="T93" s="4"/>
      <c r="U93" s="4"/>
    </row>
    <row r="94" spans="1:21" s="5" customFormat="1" x14ac:dyDescent="0.2">
      <c r="A94" s="2"/>
      <c r="B94" s="2"/>
      <c r="C94" s="56"/>
      <c r="D94" s="2"/>
      <c r="E94" s="56"/>
      <c r="F94"/>
      <c r="G94"/>
      <c r="H94"/>
      <c r="I94"/>
      <c r="J94"/>
      <c r="K94"/>
      <c r="L94"/>
      <c r="M94"/>
      <c r="N94" s="2"/>
      <c r="O94" s="2"/>
      <c r="P94" s="2"/>
      <c r="Q94" s="2"/>
      <c r="R94" s="2"/>
      <c r="S94"/>
      <c r="T94" s="4"/>
      <c r="U94" s="4"/>
    </row>
    <row r="95" spans="1:21" s="5" customFormat="1" x14ac:dyDescent="0.2">
      <c r="A95" s="2"/>
      <c r="B95" s="2"/>
      <c r="C95" s="56"/>
      <c r="D95" s="2"/>
      <c r="E95" s="56"/>
      <c r="F95"/>
      <c r="G95"/>
      <c r="H95"/>
      <c r="I95"/>
      <c r="J95"/>
      <c r="K95"/>
      <c r="L95"/>
      <c r="M95"/>
      <c r="N95" s="2"/>
      <c r="O95" s="2"/>
      <c r="P95" s="2"/>
      <c r="Q95" s="2"/>
      <c r="R95" s="2"/>
      <c r="S95"/>
      <c r="T95" s="4"/>
      <c r="U95" s="4"/>
    </row>
    <row r="96" spans="1:21" s="5" customFormat="1" x14ac:dyDescent="0.2">
      <c r="A96" s="2"/>
      <c r="B96" s="68"/>
      <c r="C96" s="67"/>
      <c r="D96" s="68"/>
      <c r="E96" s="67"/>
      <c r="F96"/>
      <c r="G96"/>
      <c r="H96"/>
      <c r="I96"/>
      <c r="J96"/>
      <c r="K96"/>
      <c r="L96"/>
      <c r="M96"/>
      <c r="N96" s="2"/>
      <c r="O96" s="2"/>
      <c r="P96" s="2"/>
      <c r="Q96" s="2"/>
      <c r="R96" s="2"/>
      <c r="S96"/>
      <c r="T96" s="4"/>
      <c r="U96" s="4"/>
    </row>
    <row r="97" spans="1:21" s="5" customFormat="1" x14ac:dyDescent="0.2">
      <c r="A97" s="2"/>
      <c r="B97" s="68"/>
      <c r="C97" s="67"/>
      <c r="D97" s="68"/>
      <c r="E97" s="67"/>
      <c r="F97"/>
      <c r="G97"/>
      <c r="H97"/>
      <c r="I97"/>
      <c r="J97"/>
      <c r="K97"/>
      <c r="L97"/>
      <c r="M97"/>
      <c r="N97" s="2"/>
      <c r="O97" s="2"/>
      <c r="P97" s="2"/>
      <c r="Q97" s="2"/>
      <c r="R97" s="2"/>
      <c r="S97"/>
      <c r="T97" s="4"/>
      <c r="U97" s="4"/>
    </row>
    <row r="98" spans="1:21" s="5" customFormat="1" x14ac:dyDescent="0.2">
      <c r="A98" s="2"/>
      <c r="B98" s="68"/>
      <c r="C98" s="67"/>
      <c r="D98" s="68"/>
      <c r="E98" s="67"/>
      <c r="F98"/>
      <c r="G98"/>
      <c r="H98"/>
      <c r="I98"/>
      <c r="J98"/>
      <c r="K98"/>
      <c r="L98"/>
      <c r="M98"/>
      <c r="N98" s="2"/>
      <c r="O98" s="2"/>
      <c r="P98" s="2"/>
      <c r="Q98" s="2"/>
      <c r="R98" s="2"/>
      <c r="S98"/>
      <c r="T98" s="4"/>
      <c r="U98" s="4"/>
    </row>
    <row r="99" spans="1:21" s="5" customFormat="1" x14ac:dyDescent="0.2">
      <c r="A99" s="2"/>
      <c r="B99" s="68"/>
      <c r="C99" s="67"/>
      <c r="D99" s="68"/>
      <c r="E99" s="67"/>
      <c r="F99"/>
      <c r="G99"/>
      <c r="H99"/>
      <c r="I99"/>
      <c r="J99"/>
      <c r="K99"/>
      <c r="L99"/>
      <c r="M99"/>
      <c r="N99" s="2"/>
      <c r="O99" s="2"/>
      <c r="P99" s="2"/>
      <c r="Q99" s="2"/>
      <c r="R99" s="2"/>
      <c r="S99"/>
      <c r="T99" s="4"/>
      <c r="U99" s="4"/>
    </row>
    <row r="100" spans="1:21" s="5" customFormat="1" x14ac:dyDescent="0.2">
      <c r="A100" s="2"/>
      <c r="B100" s="68"/>
      <c r="C100" s="67"/>
      <c r="D100" s="68"/>
      <c r="E100" s="67"/>
      <c r="F100"/>
      <c r="G100"/>
      <c r="H100"/>
      <c r="I100"/>
      <c r="J100"/>
      <c r="K100"/>
      <c r="L100"/>
      <c r="M100"/>
      <c r="N100" s="2"/>
      <c r="O100" s="2"/>
      <c r="P100" s="2"/>
      <c r="Q100" s="2"/>
      <c r="R100" s="2"/>
      <c r="S100"/>
      <c r="T100" s="4"/>
      <c r="U100" s="4"/>
    </row>
    <row r="101" spans="1:21" s="5" customFormat="1" x14ac:dyDescent="0.2">
      <c r="A101" s="2"/>
      <c r="B101" s="68"/>
      <c r="C101" s="67"/>
      <c r="D101" s="68"/>
      <c r="E101" s="67"/>
      <c r="F101"/>
      <c r="G101"/>
      <c r="H101"/>
      <c r="I101"/>
      <c r="J101"/>
      <c r="K101"/>
      <c r="L101"/>
      <c r="M101"/>
      <c r="N101" s="2"/>
      <c r="O101" s="2"/>
      <c r="P101" s="2"/>
      <c r="Q101" s="2"/>
      <c r="R101" s="2"/>
      <c r="S101"/>
      <c r="T101" s="4"/>
      <c r="U101" s="4"/>
    </row>
    <row r="102" spans="1:21" s="5" customFormat="1" x14ac:dyDescent="0.2">
      <c r="A102" s="2"/>
      <c r="B102" s="2"/>
      <c r="C102" s="56"/>
      <c r="D102" s="2"/>
      <c r="E102" s="56"/>
      <c r="F102"/>
      <c r="G102"/>
      <c r="H102"/>
      <c r="I102"/>
      <c r="J102"/>
      <c r="K102"/>
      <c r="L102"/>
      <c r="M102"/>
      <c r="N102" s="2"/>
      <c r="O102" s="2"/>
      <c r="P102" s="2"/>
      <c r="Q102" s="2"/>
      <c r="R102" s="2"/>
      <c r="S102"/>
      <c r="T102" s="4"/>
      <c r="U102" s="4"/>
    </row>
    <row r="103" spans="1:21" s="5" customFormat="1" x14ac:dyDescent="0.2">
      <c r="A103" s="2"/>
      <c r="B103" s="2"/>
      <c r="C103" s="56"/>
      <c r="D103" s="2"/>
      <c r="E103" s="56"/>
      <c r="F103"/>
      <c r="G103"/>
      <c r="H103"/>
      <c r="I103"/>
      <c r="J103"/>
      <c r="K103"/>
      <c r="L103"/>
      <c r="M103"/>
      <c r="N103" s="2"/>
      <c r="O103" s="2"/>
      <c r="P103" s="2"/>
      <c r="Q103" s="2"/>
      <c r="R103" s="2"/>
      <c r="S103"/>
      <c r="T103" s="4"/>
      <c r="U103" s="4"/>
    </row>
    <row r="104" spans="1:21" s="5" customFormat="1" x14ac:dyDescent="0.2">
      <c r="A104" s="2"/>
      <c r="B104" s="2"/>
      <c r="C104" s="56"/>
      <c r="D104" s="2"/>
      <c r="E104" s="56"/>
      <c r="F104"/>
      <c r="G104"/>
      <c r="H104"/>
      <c r="I104"/>
      <c r="J104"/>
      <c r="K104"/>
      <c r="L104"/>
      <c r="M104"/>
      <c r="N104" s="2"/>
      <c r="O104" s="2"/>
      <c r="P104" s="2"/>
      <c r="Q104" s="2"/>
      <c r="R104" s="2"/>
      <c r="S104"/>
      <c r="T104" s="4"/>
      <c r="U104" s="4"/>
    </row>
    <row r="105" spans="1:21" s="5" customFormat="1" x14ac:dyDescent="0.2">
      <c r="A105" s="2"/>
      <c r="B105" s="2"/>
      <c r="C105" s="56"/>
      <c r="D105" s="2"/>
      <c r="E105" s="56"/>
      <c r="F105"/>
      <c r="G105"/>
      <c r="H105"/>
      <c r="I105"/>
      <c r="J105"/>
      <c r="K105"/>
      <c r="L105"/>
      <c r="M105"/>
      <c r="N105" s="2"/>
      <c r="O105" s="2"/>
      <c r="P105" s="2"/>
      <c r="Q105" s="2"/>
      <c r="R105" s="2"/>
      <c r="S105"/>
      <c r="T105" s="4"/>
      <c r="U105" s="4"/>
    </row>
    <row r="106" spans="1:21" s="5" customFormat="1" x14ac:dyDescent="0.2">
      <c r="A106" s="2"/>
      <c r="B106" s="2"/>
      <c r="C106" s="56"/>
      <c r="D106" s="2"/>
      <c r="E106" s="56"/>
      <c r="F106"/>
      <c r="G106"/>
      <c r="H106"/>
      <c r="I106"/>
      <c r="J106"/>
      <c r="K106"/>
      <c r="L106"/>
      <c r="M106"/>
      <c r="N106" s="2"/>
      <c r="O106" s="2"/>
      <c r="P106" s="2"/>
      <c r="Q106" s="2"/>
      <c r="R106" s="2"/>
      <c r="S106"/>
      <c r="T106" s="4"/>
      <c r="U106" s="4"/>
    </row>
    <row r="107" spans="1:21" s="5" customFormat="1" x14ac:dyDescent="0.2">
      <c r="A107" s="2"/>
      <c r="B107" s="2"/>
      <c r="C107" s="56"/>
      <c r="D107" s="2"/>
      <c r="E107" s="56"/>
      <c r="F107"/>
      <c r="G107"/>
      <c r="H107"/>
      <c r="I107"/>
      <c r="J107"/>
      <c r="K107"/>
      <c r="L107"/>
      <c r="M107"/>
      <c r="N107" s="2"/>
      <c r="O107" s="2"/>
      <c r="P107" s="2"/>
      <c r="Q107" s="2"/>
      <c r="R107" s="2"/>
      <c r="S107"/>
      <c r="T107" s="4"/>
      <c r="U107" s="4"/>
    </row>
    <row r="108" spans="1:21" s="5" customFormat="1" x14ac:dyDescent="0.2">
      <c r="A108" s="2"/>
      <c r="B108" s="2"/>
      <c r="C108" s="56"/>
      <c r="D108" s="2"/>
      <c r="E108" s="56"/>
      <c r="F108"/>
      <c r="G108"/>
      <c r="H108"/>
      <c r="I108"/>
      <c r="J108"/>
      <c r="K108"/>
      <c r="L108"/>
      <c r="M108"/>
      <c r="N108" s="2"/>
      <c r="O108" s="2"/>
      <c r="P108" s="2"/>
      <c r="Q108" s="2"/>
      <c r="R108" s="2"/>
      <c r="S108"/>
      <c r="T108" s="4"/>
      <c r="U108" s="4"/>
    </row>
    <row r="109" spans="1:21" s="5" customFormat="1" x14ac:dyDescent="0.2">
      <c r="A109" s="2"/>
      <c r="B109" s="2"/>
      <c r="C109" s="56"/>
      <c r="D109" s="2"/>
      <c r="E109" s="56"/>
      <c r="F109"/>
      <c r="G109"/>
      <c r="H109"/>
      <c r="I109"/>
      <c r="J109"/>
      <c r="K109"/>
      <c r="L109"/>
      <c r="M109"/>
      <c r="N109" s="2"/>
      <c r="O109" s="2"/>
      <c r="P109" s="2"/>
      <c r="Q109" s="2"/>
      <c r="R109" s="2"/>
      <c r="S109"/>
      <c r="T109" s="4"/>
      <c r="U109" s="4"/>
    </row>
    <row r="110" spans="1:21" s="5" customFormat="1" x14ac:dyDescent="0.2">
      <c r="A110" s="2"/>
      <c r="B110" s="2"/>
      <c r="C110" s="56"/>
      <c r="D110" s="2"/>
      <c r="E110" s="56"/>
      <c r="F110"/>
      <c r="G110"/>
      <c r="H110"/>
      <c r="I110"/>
      <c r="J110"/>
      <c r="K110"/>
      <c r="L110"/>
      <c r="M110"/>
      <c r="N110" s="2"/>
      <c r="O110" s="2"/>
      <c r="P110" s="2"/>
      <c r="Q110" s="2"/>
      <c r="R110" s="2"/>
      <c r="S110"/>
      <c r="T110" s="4"/>
      <c r="U110" s="4"/>
    </row>
    <row r="111" spans="1:21" s="5" customFormat="1" x14ac:dyDescent="0.2">
      <c r="A111" s="2"/>
      <c r="B111" s="2"/>
      <c r="C111" s="56"/>
      <c r="D111" s="2"/>
      <c r="E111" s="56"/>
      <c r="F111"/>
      <c r="G111"/>
      <c r="H111"/>
      <c r="I111"/>
      <c r="J111"/>
      <c r="K111"/>
      <c r="L111"/>
      <c r="M111"/>
      <c r="N111" s="2"/>
      <c r="O111" s="2"/>
      <c r="P111" s="2"/>
      <c r="Q111" s="2"/>
      <c r="R111" s="2"/>
      <c r="S111"/>
      <c r="T111" s="4"/>
      <c r="U111" s="4"/>
    </row>
    <row r="112" spans="1:21" s="5" customFormat="1" x14ac:dyDescent="0.2">
      <c r="A112" s="2"/>
      <c r="B112" s="2"/>
      <c r="C112" s="56"/>
      <c r="D112" s="2"/>
      <c r="E112" s="56"/>
      <c r="F112"/>
      <c r="G112"/>
      <c r="H112"/>
      <c r="I112"/>
      <c r="J112"/>
      <c r="K112"/>
      <c r="L112"/>
      <c r="M112"/>
      <c r="N112" s="2"/>
      <c r="O112" s="2"/>
      <c r="P112" s="2"/>
      <c r="Q112" s="2"/>
      <c r="R112" s="2"/>
      <c r="S112"/>
      <c r="T112" s="4"/>
      <c r="U112" s="4"/>
    </row>
    <row r="113" spans="1:21" s="5" customFormat="1" x14ac:dyDescent="0.2">
      <c r="A113" s="2"/>
      <c r="B113" s="2"/>
      <c r="C113" s="56"/>
      <c r="D113" s="2"/>
      <c r="E113" s="56"/>
      <c r="F113"/>
      <c r="G113"/>
      <c r="H113"/>
      <c r="I113"/>
      <c r="J113"/>
      <c r="K113"/>
      <c r="L113"/>
      <c r="M113"/>
      <c r="N113" s="2"/>
      <c r="O113" s="2"/>
      <c r="P113" s="2"/>
      <c r="Q113" s="2"/>
      <c r="R113" s="2"/>
      <c r="S113"/>
      <c r="T113" s="4"/>
      <c r="U113" s="4"/>
    </row>
    <row r="114" spans="1:21" s="5" customFormat="1" x14ac:dyDescent="0.2">
      <c r="A114" s="2"/>
      <c r="B114" s="2"/>
      <c r="C114" s="56"/>
      <c r="D114" s="2"/>
      <c r="E114" s="56"/>
      <c r="F114"/>
      <c r="G114"/>
      <c r="H114"/>
      <c r="I114"/>
      <c r="J114"/>
      <c r="K114"/>
      <c r="L114"/>
      <c r="M114"/>
      <c r="N114" s="2"/>
      <c r="O114" s="2"/>
      <c r="P114" s="2"/>
      <c r="Q114" s="2"/>
      <c r="R114" s="2"/>
      <c r="S114"/>
      <c r="T114" s="4"/>
      <c r="U114" s="4"/>
    </row>
    <row r="115" spans="1:21" s="5" customFormat="1" x14ac:dyDescent="0.2">
      <c r="A115" s="2"/>
      <c r="B115" s="2"/>
      <c r="C115" s="56"/>
      <c r="D115" s="2"/>
      <c r="E115" s="56"/>
      <c r="F115"/>
      <c r="G115"/>
      <c r="H115"/>
      <c r="I115"/>
      <c r="J115"/>
      <c r="K115"/>
      <c r="L115"/>
      <c r="M115"/>
      <c r="N115" s="2"/>
      <c r="O115" s="2"/>
      <c r="P115" s="2"/>
      <c r="Q115" s="2"/>
      <c r="R115" s="2"/>
      <c r="S115"/>
      <c r="T115" s="4"/>
      <c r="U115" s="4"/>
    </row>
    <row r="116" spans="1:21" s="5" customFormat="1" x14ac:dyDescent="0.2">
      <c r="A116" s="2"/>
      <c r="B116" s="2"/>
      <c r="C116" s="56"/>
      <c r="D116" s="2"/>
      <c r="E116" s="56"/>
      <c r="F116"/>
      <c r="G116"/>
      <c r="H116"/>
      <c r="I116"/>
      <c r="J116"/>
      <c r="K116"/>
      <c r="L116"/>
      <c r="M116"/>
      <c r="N116" s="2"/>
      <c r="O116" s="2"/>
      <c r="P116" s="2"/>
      <c r="Q116" s="2"/>
      <c r="R116" s="2"/>
      <c r="S116"/>
      <c r="T116" s="4"/>
      <c r="U116" s="4"/>
    </row>
    <row r="117" spans="1:21" s="5" customFormat="1" x14ac:dyDescent="0.2">
      <c r="A117" s="2"/>
      <c r="B117" s="2"/>
      <c r="C117" s="56"/>
      <c r="D117" s="2"/>
      <c r="E117" s="56"/>
      <c r="F117"/>
      <c r="G117"/>
      <c r="H117"/>
      <c r="I117"/>
      <c r="J117"/>
      <c r="K117"/>
      <c r="L117"/>
      <c r="M117"/>
      <c r="N117" s="2"/>
      <c r="O117" s="2"/>
      <c r="P117" s="2"/>
      <c r="Q117" s="2"/>
      <c r="R117" s="2"/>
      <c r="S117"/>
      <c r="T117" s="4"/>
      <c r="U117" s="4"/>
    </row>
    <row r="118" spans="1:21" s="5" customFormat="1" x14ac:dyDescent="0.2">
      <c r="A118" s="2"/>
      <c r="B118" s="2"/>
      <c r="C118" s="56"/>
      <c r="D118" s="2"/>
      <c r="E118" s="56"/>
      <c r="F118"/>
      <c r="G118"/>
      <c r="H118"/>
      <c r="I118"/>
      <c r="J118"/>
      <c r="K118"/>
      <c r="L118"/>
      <c r="M118"/>
      <c r="N118" s="2"/>
      <c r="O118" s="2"/>
      <c r="P118" s="2"/>
      <c r="Q118" s="2"/>
      <c r="R118" s="2"/>
      <c r="S118"/>
      <c r="T118" s="4"/>
      <c r="U118" s="4"/>
    </row>
    <row r="119" spans="1:21" s="5" customFormat="1" x14ac:dyDescent="0.2">
      <c r="A119" s="2"/>
      <c r="B119" s="2"/>
      <c r="C119" s="56"/>
      <c r="D119" s="2"/>
      <c r="E119" s="56"/>
      <c r="F119"/>
      <c r="G119"/>
      <c r="H119"/>
      <c r="I119"/>
      <c r="J119"/>
      <c r="K119"/>
      <c r="L119"/>
      <c r="M119"/>
      <c r="N119" s="2"/>
      <c r="O119" s="2"/>
      <c r="P119" s="2"/>
      <c r="Q119" s="2"/>
      <c r="R119" s="2"/>
      <c r="S119"/>
      <c r="T119" s="4"/>
      <c r="U119" s="4"/>
    </row>
    <row r="120" spans="1:21" s="5" customFormat="1" x14ac:dyDescent="0.2">
      <c r="A120" s="2"/>
      <c r="B120" s="2"/>
      <c r="C120" s="56"/>
      <c r="D120" s="2"/>
      <c r="E120" s="56"/>
      <c r="F120"/>
      <c r="G120"/>
      <c r="H120"/>
      <c r="I120"/>
      <c r="J120"/>
      <c r="K120"/>
      <c r="L120"/>
      <c r="M120"/>
      <c r="N120" s="2"/>
      <c r="O120" s="2"/>
      <c r="P120" s="2"/>
      <c r="Q120" s="2"/>
      <c r="R120" s="2"/>
      <c r="S120"/>
      <c r="T120" s="4"/>
      <c r="U120" s="4"/>
    </row>
    <row r="121" spans="1:21" s="5" customFormat="1" x14ac:dyDescent="0.2">
      <c r="A121" s="2"/>
      <c r="B121" s="2"/>
      <c r="C121" s="56"/>
      <c r="D121" s="2"/>
      <c r="E121" s="56"/>
      <c r="F121"/>
      <c r="G121"/>
      <c r="H121"/>
      <c r="I121"/>
      <c r="J121"/>
      <c r="K121"/>
      <c r="L121"/>
      <c r="M121"/>
      <c r="N121" s="2"/>
      <c r="O121" s="2"/>
      <c r="P121" s="2"/>
      <c r="Q121" s="2"/>
      <c r="R121" s="2"/>
      <c r="S121"/>
      <c r="T121" s="4"/>
      <c r="U121" s="4"/>
    </row>
  </sheetData>
  <sheetProtection algorithmName="SHA-512" hashValue="D/pHGIAv5xmdtU1yTHfQkhfY02sBw/JCxyyFL0KU90opiAJ0J3wUGqz/kJCCkSTytnqYDQoZymXemb6uhxW0xQ==" saltValue="qW/N+SH1bIVA9IlkJJ04yA==" spinCount="100000" sheet="1" selectLockedCells="1"/>
  <autoFilter ref="B3:R3" xr:uid="{7C6FC6D5-AAC8-4523-858D-0892689D2677}"/>
  <mergeCells count="9">
    <mergeCell ref="B1:R1"/>
    <mergeCell ref="A2:E2"/>
    <mergeCell ref="F2:F3"/>
    <mergeCell ref="G2:G3"/>
    <mergeCell ref="H2:H3"/>
    <mergeCell ref="I2:I3"/>
    <mergeCell ref="J2:J3"/>
    <mergeCell ref="K2:N2"/>
    <mergeCell ref="O2:R2"/>
  </mergeCells>
  <dataValidations count="1">
    <dataValidation type="list" allowBlank="1" showInputMessage="1" showErrorMessage="1" sqref="T3" xr:uid="{973CA1BF-017B-41B2-A5E7-C6FBA96A66FA}">
      <formula1>"SCM,BRD,CER"</formula1>
    </dataValidation>
  </dataValidations>
  <pageMargins left="0.7" right="0.7" top="0.75" bottom="0.75" header="0.3" footer="0.3"/>
  <pageSetup paperSize="8" scale="63" fitToHeight="0" orientation="landscape" r:id="rId1"/>
  <headerFooter>
    <oddHeader>&amp;C&amp;"Calibri"&amp;10&amp;K000000 Official&amp;1#_x000D_</oddHeader>
    <oddFooter>&amp;C_x000D_&amp;1#&amp;"Calibri"&amp;10&amp;K000000 Official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9A34-D054-4B86-80C4-4C74304CFFBB}">
  <sheetPr>
    <tabColor rgb="FFF71EE5"/>
    <pageSetUpPr fitToPage="1"/>
  </sheetPr>
  <dimension ref="A1:V114"/>
  <sheetViews>
    <sheetView zoomScale="80" zoomScaleNormal="80" workbookViewId="0">
      <selection sqref="A1:XFD1048576"/>
    </sheetView>
  </sheetViews>
  <sheetFormatPr defaultColWidth="9" defaultRowHeight="14.25" x14ac:dyDescent="0.2"/>
  <cols>
    <col min="1" max="1" width="7.125" bestFit="1" customWidth="1"/>
    <col min="2" max="2" width="9" customWidth="1"/>
    <col min="3" max="3" width="8.875"/>
    <col min="4" max="5" width="8.5" bestFit="1" customWidth="1"/>
    <col min="6" max="6" width="59.625" customWidth="1"/>
    <col min="7" max="7" width="7.625" bestFit="1" customWidth="1"/>
    <col min="8" max="8" width="12.125" bestFit="1" customWidth="1"/>
    <col min="9" max="9" width="15.875" style="2" customWidth="1"/>
    <col min="10" max="10" width="9.125" bestFit="1" customWidth="1"/>
    <col min="11" max="11" width="45" bestFit="1" customWidth="1"/>
    <col min="12" max="13" width="11.625" customWidth="1"/>
    <col min="14" max="14" width="12.125" style="2" bestFit="1" customWidth="1"/>
    <col min="22" max="22" width="8.875" style="5"/>
    <col min="23" max="23" width="16.125" bestFit="1" customWidth="1"/>
    <col min="25" max="25" width="15.125" customWidth="1"/>
  </cols>
  <sheetData>
    <row r="1" spans="1:22" x14ac:dyDescent="0.2">
      <c r="A1" s="18"/>
      <c r="B1" s="119" t="s">
        <v>890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</row>
    <row r="2" spans="1:22" x14ac:dyDescent="0.2">
      <c r="A2" s="121" t="s">
        <v>250</v>
      </c>
      <c r="B2" s="121"/>
      <c r="C2" s="121"/>
      <c r="D2" s="121"/>
      <c r="E2" s="121"/>
      <c r="F2" s="119" t="s">
        <v>10</v>
      </c>
      <c r="G2" s="119" t="s">
        <v>11</v>
      </c>
      <c r="H2" s="119" t="s">
        <v>13</v>
      </c>
      <c r="I2" s="120" t="s">
        <v>15</v>
      </c>
      <c r="J2" s="119" t="s">
        <v>17</v>
      </c>
      <c r="K2" s="119" t="s">
        <v>26</v>
      </c>
      <c r="L2" s="119"/>
      <c r="M2" s="119"/>
      <c r="N2" s="119"/>
      <c r="O2" s="119" t="s">
        <v>34</v>
      </c>
      <c r="P2" s="119"/>
      <c r="Q2" s="119"/>
      <c r="R2" s="119"/>
    </row>
    <row r="3" spans="1:22" x14ac:dyDescent="0.2">
      <c r="A3" s="29" t="s">
        <v>0</v>
      </c>
      <c r="B3" s="30" t="s">
        <v>2</v>
      </c>
      <c r="C3" s="30" t="s">
        <v>4</v>
      </c>
      <c r="D3" s="30" t="s">
        <v>6</v>
      </c>
      <c r="E3" s="30" t="s">
        <v>8</v>
      </c>
      <c r="F3" s="119"/>
      <c r="G3" s="119"/>
      <c r="H3" s="119"/>
      <c r="I3" s="120"/>
      <c r="J3" s="119"/>
      <c r="K3" s="7" t="s">
        <v>27</v>
      </c>
      <c r="L3" s="7" t="s">
        <v>4</v>
      </c>
      <c r="M3" s="7" t="s">
        <v>30</v>
      </c>
      <c r="N3" s="28" t="s">
        <v>32</v>
      </c>
      <c r="O3" s="28" t="s">
        <v>35</v>
      </c>
      <c r="P3" s="28" t="s">
        <v>37</v>
      </c>
      <c r="Q3" s="28" t="s">
        <v>39</v>
      </c>
      <c r="R3" s="28" t="s">
        <v>41</v>
      </c>
      <c r="T3" s="3" t="s">
        <v>251</v>
      </c>
    </row>
    <row r="4" spans="1:22" x14ac:dyDescent="0.2">
      <c r="A4" s="48" t="s">
        <v>252</v>
      </c>
      <c r="B4" s="49">
        <f t="shared" ref="B4:B21" si="0">$C$22-C4</f>
        <v>0.33680555555555558</v>
      </c>
      <c r="C4" s="49">
        <v>0.20833333333333334</v>
      </c>
      <c r="D4" s="35"/>
      <c r="E4" s="35"/>
      <c r="F4" s="36" t="s">
        <v>253</v>
      </c>
      <c r="G4" s="18"/>
      <c r="H4" s="18"/>
      <c r="I4" s="38" t="s">
        <v>254</v>
      </c>
      <c r="J4" s="37"/>
      <c r="K4" s="37"/>
      <c r="L4" s="37"/>
      <c r="M4" s="37"/>
      <c r="N4" s="38"/>
      <c r="O4" s="38"/>
      <c r="P4" s="38"/>
      <c r="Q4" s="38"/>
      <c r="R4" s="38" t="s">
        <v>256</v>
      </c>
    </row>
    <row r="5" spans="1:22" x14ac:dyDescent="0.2">
      <c r="A5" s="48" t="s">
        <v>252</v>
      </c>
      <c r="B5" s="49">
        <f t="shared" si="0"/>
        <v>0.31597222222222232</v>
      </c>
      <c r="C5" s="49">
        <v>0.22916666666666666</v>
      </c>
      <c r="D5" s="35"/>
      <c r="E5" s="35"/>
      <c r="F5" s="39" t="s">
        <v>257</v>
      </c>
      <c r="G5" s="18"/>
      <c r="H5" s="18"/>
      <c r="I5" s="38" t="s">
        <v>254</v>
      </c>
      <c r="J5" s="37"/>
      <c r="K5" s="37"/>
      <c r="L5" s="37"/>
      <c r="M5" s="37"/>
      <c r="N5" s="38"/>
      <c r="O5" s="38"/>
      <c r="P5" s="38"/>
      <c r="Q5" s="38"/>
      <c r="R5" s="38"/>
    </row>
    <row r="6" spans="1:22" x14ac:dyDescent="0.2">
      <c r="A6" s="48" t="s">
        <v>252</v>
      </c>
      <c r="B6" s="49">
        <f t="shared" si="0"/>
        <v>0.31597222222222232</v>
      </c>
      <c r="C6" s="95">
        <v>0.22916666666666666</v>
      </c>
      <c r="D6" s="35"/>
      <c r="E6" s="35"/>
      <c r="F6" s="36" t="s">
        <v>258</v>
      </c>
      <c r="G6" s="18"/>
      <c r="H6" s="18"/>
      <c r="I6" s="38" t="s">
        <v>254</v>
      </c>
      <c r="J6" s="37"/>
      <c r="K6" s="37"/>
      <c r="L6" s="37"/>
      <c r="M6" s="37"/>
      <c r="N6" s="38"/>
      <c r="O6" s="38"/>
      <c r="P6" s="38"/>
      <c r="Q6" s="38"/>
      <c r="R6" s="38" t="s">
        <v>256</v>
      </c>
      <c r="T6" s="4"/>
      <c r="U6" s="4"/>
      <c r="V6" s="6"/>
    </row>
    <row r="7" spans="1:22" x14ac:dyDescent="0.2">
      <c r="A7" s="48" t="s">
        <v>252</v>
      </c>
      <c r="B7" s="49">
        <f t="shared" si="0"/>
        <v>0.25347222222222227</v>
      </c>
      <c r="C7" s="49">
        <v>0.29166666666666669</v>
      </c>
      <c r="D7" s="35"/>
      <c r="E7" s="35"/>
      <c r="F7" s="18" t="s">
        <v>267</v>
      </c>
      <c r="G7" s="18"/>
      <c r="H7" s="18"/>
      <c r="I7" s="38" t="s">
        <v>254</v>
      </c>
      <c r="J7" s="37"/>
      <c r="K7" s="37"/>
      <c r="L7" s="37"/>
      <c r="M7" s="37"/>
      <c r="N7" s="38"/>
      <c r="O7" s="38"/>
      <c r="P7" s="38"/>
      <c r="Q7" s="38"/>
      <c r="R7" s="38"/>
      <c r="T7" s="4"/>
      <c r="U7" s="4"/>
    </row>
    <row r="8" spans="1:22" x14ac:dyDescent="0.2">
      <c r="A8" s="48" t="s">
        <v>252</v>
      </c>
      <c r="B8" s="49">
        <f t="shared" si="0"/>
        <v>0.14930555555555564</v>
      </c>
      <c r="C8" s="49">
        <v>0.39583333333333331</v>
      </c>
      <c r="D8" s="35"/>
      <c r="E8" s="35"/>
      <c r="F8" s="18" t="s">
        <v>262</v>
      </c>
      <c r="G8" s="18"/>
      <c r="H8" s="18"/>
      <c r="I8" s="38" t="s">
        <v>254</v>
      </c>
      <c r="J8" s="37"/>
      <c r="K8" s="37"/>
      <c r="L8" s="37"/>
      <c r="M8" s="37"/>
      <c r="N8" s="38"/>
      <c r="O8" s="38"/>
      <c r="P8" s="38"/>
      <c r="Q8" s="38"/>
      <c r="R8" s="38" t="s">
        <v>256</v>
      </c>
      <c r="T8" s="4"/>
      <c r="U8" s="4"/>
    </row>
    <row r="9" spans="1:22" x14ac:dyDescent="0.2">
      <c r="A9" s="48" t="s">
        <v>252</v>
      </c>
      <c r="B9" s="49">
        <f t="shared" si="0"/>
        <v>0.10763888888888895</v>
      </c>
      <c r="C9" s="49">
        <v>0.4375</v>
      </c>
      <c r="D9" s="35"/>
      <c r="E9" s="35"/>
      <c r="F9" s="18" t="s">
        <v>891</v>
      </c>
      <c r="G9" s="18"/>
      <c r="H9" s="18"/>
      <c r="I9" s="38" t="s">
        <v>254</v>
      </c>
      <c r="J9" s="37"/>
      <c r="K9" s="37"/>
      <c r="L9" s="37"/>
      <c r="M9" s="37"/>
      <c r="N9" s="38"/>
      <c r="O9" s="38"/>
      <c r="P9" s="38"/>
      <c r="Q9" s="38"/>
      <c r="R9" s="38" t="s">
        <v>256</v>
      </c>
      <c r="T9" s="4"/>
      <c r="U9" s="4"/>
      <c r="V9" s="6"/>
    </row>
    <row r="10" spans="1:22" x14ac:dyDescent="0.2">
      <c r="A10" s="48" t="s">
        <v>252</v>
      </c>
      <c r="B10" s="49">
        <f t="shared" si="0"/>
        <v>8.6805555555555636E-2</v>
      </c>
      <c r="C10" s="49">
        <v>0.45833333333333331</v>
      </c>
      <c r="D10" s="35"/>
      <c r="E10" s="35"/>
      <c r="F10" s="20" t="s">
        <v>53</v>
      </c>
      <c r="G10" s="18"/>
      <c r="H10" s="18"/>
      <c r="I10" s="38" t="s">
        <v>254</v>
      </c>
      <c r="J10" s="37"/>
      <c r="K10" s="37"/>
      <c r="L10" s="37"/>
      <c r="M10" s="37"/>
      <c r="N10" s="38"/>
      <c r="O10" s="38"/>
      <c r="P10" s="38"/>
      <c r="Q10" s="38"/>
      <c r="R10" s="38" t="s">
        <v>256</v>
      </c>
      <c r="T10" s="4"/>
      <c r="U10" s="4"/>
    </row>
    <row r="11" spans="1:22" x14ac:dyDescent="0.2">
      <c r="A11" s="48" t="s">
        <v>252</v>
      </c>
      <c r="B11" s="49">
        <f t="shared" si="0"/>
        <v>8.6805555555555636E-2</v>
      </c>
      <c r="C11" s="97">
        <v>0.45833333333333331</v>
      </c>
      <c r="D11" s="96">
        <f>E11-C11</f>
        <v>0.18750000000000006</v>
      </c>
      <c r="E11" s="96">
        <v>0.64583333333333337</v>
      </c>
      <c r="F11" s="18" t="s">
        <v>892</v>
      </c>
      <c r="G11" s="18"/>
      <c r="H11" s="18"/>
      <c r="I11" s="38" t="s">
        <v>254</v>
      </c>
      <c r="J11" s="37"/>
      <c r="K11" s="37"/>
      <c r="L11" s="37"/>
      <c r="M11" s="37"/>
      <c r="N11" s="38"/>
      <c r="O11" s="38"/>
      <c r="P11" s="38"/>
      <c r="Q11" s="38"/>
      <c r="R11" s="38" t="s">
        <v>256</v>
      </c>
      <c r="T11" s="4"/>
      <c r="U11" s="4"/>
    </row>
    <row r="12" spans="1:22" x14ac:dyDescent="0.2">
      <c r="A12" s="48" t="s">
        <v>252</v>
      </c>
      <c r="B12" s="49">
        <f t="shared" si="0"/>
        <v>6.5972222222222265E-2</v>
      </c>
      <c r="C12" s="49">
        <v>0.47916666666666669</v>
      </c>
      <c r="D12" s="96">
        <f>E12-C12</f>
        <v>4.8611111111111105E-2</v>
      </c>
      <c r="E12" s="49">
        <v>0.52777777777777779</v>
      </c>
      <c r="F12" s="18" t="s">
        <v>893</v>
      </c>
      <c r="G12" s="18" t="s">
        <v>266</v>
      </c>
      <c r="H12" s="18"/>
      <c r="I12" s="38" t="s">
        <v>254</v>
      </c>
      <c r="J12" s="37"/>
      <c r="K12" s="37"/>
      <c r="L12" s="37"/>
      <c r="M12" s="37"/>
      <c r="N12" s="38"/>
      <c r="O12" s="38" t="s">
        <v>256</v>
      </c>
      <c r="P12" s="38"/>
      <c r="Q12" s="38" t="s">
        <v>256</v>
      </c>
      <c r="R12" s="38" t="s">
        <v>256</v>
      </c>
      <c r="T12" s="4"/>
      <c r="U12" s="4"/>
    </row>
    <row r="13" spans="1:22" x14ac:dyDescent="0.2">
      <c r="A13" s="48" t="s">
        <v>252</v>
      </c>
      <c r="B13" s="49">
        <f t="shared" si="0"/>
        <v>6.5972222222222265E-2</v>
      </c>
      <c r="C13" s="49">
        <v>0.47916666666666669</v>
      </c>
      <c r="D13" s="35"/>
      <c r="E13" s="35"/>
      <c r="F13" s="18" t="s">
        <v>270</v>
      </c>
      <c r="G13" s="18"/>
      <c r="H13" s="18"/>
      <c r="I13" s="38" t="s">
        <v>254</v>
      </c>
      <c r="J13" s="37"/>
      <c r="K13" s="37"/>
      <c r="L13" s="37"/>
      <c r="M13" s="37"/>
      <c r="N13" s="38"/>
      <c r="O13" s="38"/>
      <c r="P13" s="38"/>
      <c r="Q13" s="38"/>
      <c r="R13" s="38" t="s">
        <v>256</v>
      </c>
      <c r="T13" s="4"/>
      <c r="U13" s="4"/>
      <c r="V13" s="6"/>
    </row>
    <row r="14" spans="1:22" x14ac:dyDescent="0.2">
      <c r="A14" s="48" t="s">
        <v>252</v>
      </c>
      <c r="B14" s="49">
        <f t="shared" si="0"/>
        <v>6.5972222222222265E-2</v>
      </c>
      <c r="C14" s="49">
        <v>0.47916666666666669</v>
      </c>
      <c r="D14" s="35"/>
      <c r="E14" s="35"/>
      <c r="F14" s="18" t="s">
        <v>366</v>
      </c>
      <c r="G14" s="18"/>
      <c r="H14" s="18"/>
      <c r="I14" s="38" t="s">
        <v>254</v>
      </c>
      <c r="J14" s="37"/>
      <c r="K14" s="37"/>
      <c r="L14" s="37"/>
      <c r="M14" s="37"/>
      <c r="N14" s="38"/>
      <c r="O14" s="38"/>
      <c r="P14" s="38"/>
      <c r="Q14" s="38"/>
      <c r="R14" s="38" t="s">
        <v>256</v>
      </c>
      <c r="T14" s="4"/>
      <c r="U14" s="4"/>
    </row>
    <row r="15" spans="1:22" x14ac:dyDescent="0.2">
      <c r="A15" s="48" t="s">
        <v>252</v>
      </c>
      <c r="B15" s="49">
        <f t="shared" si="0"/>
        <v>6.5972222222222265E-2</v>
      </c>
      <c r="C15" s="49">
        <v>0.47916666666666669</v>
      </c>
      <c r="D15" s="35"/>
      <c r="E15" s="35"/>
      <c r="F15" s="18" t="s">
        <v>55</v>
      </c>
      <c r="G15" s="18"/>
      <c r="H15" s="18"/>
      <c r="I15" s="38" t="s">
        <v>254</v>
      </c>
      <c r="J15" s="37"/>
      <c r="K15" s="37"/>
      <c r="L15" s="37"/>
      <c r="M15" s="37"/>
      <c r="N15" s="38"/>
      <c r="O15" s="38" t="s">
        <v>256</v>
      </c>
      <c r="P15" s="38"/>
      <c r="Q15" s="38" t="s">
        <v>256</v>
      </c>
      <c r="R15" s="38" t="s">
        <v>256</v>
      </c>
      <c r="T15" s="4"/>
      <c r="U15" s="4"/>
    </row>
    <row r="16" spans="1:22" x14ac:dyDescent="0.2">
      <c r="A16" s="48" t="s">
        <v>252</v>
      </c>
      <c r="B16" s="49">
        <f t="shared" si="0"/>
        <v>4.5138888888888951E-2</v>
      </c>
      <c r="C16" s="49">
        <v>0.5</v>
      </c>
      <c r="D16" s="35"/>
      <c r="E16" s="35"/>
      <c r="F16" s="18" t="s">
        <v>52</v>
      </c>
      <c r="G16" s="18"/>
      <c r="H16" s="18"/>
      <c r="I16" s="38" t="s">
        <v>254</v>
      </c>
      <c r="J16" s="37"/>
      <c r="K16" s="37"/>
      <c r="L16" s="37"/>
      <c r="M16" s="37"/>
      <c r="N16" s="38"/>
      <c r="O16" s="38"/>
      <c r="P16" s="38"/>
      <c r="Q16" s="38"/>
      <c r="R16" s="38"/>
      <c r="T16" s="4"/>
      <c r="U16" s="4"/>
    </row>
    <row r="17" spans="1:22" x14ac:dyDescent="0.2">
      <c r="A17" s="48" t="s">
        <v>252</v>
      </c>
      <c r="B17" s="49">
        <f t="shared" si="0"/>
        <v>1.736111111111116E-2</v>
      </c>
      <c r="C17" s="49">
        <v>0.52777777777777779</v>
      </c>
      <c r="D17" s="35"/>
      <c r="E17" s="35"/>
      <c r="F17" s="18" t="s">
        <v>273</v>
      </c>
      <c r="G17" s="18" t="s">
        <v>266</v>
      </c>
      <c r="H17" s="18"/>
      <c r="I17" s="38" t="s">
        <v>254</v>
      </c>
      <c r="J17" s="37"/>
      <c r="K17" s="37"/>
      <c r="L17" s="37"/>
      <c r="M17" s="37"/>
      <c r="N17" s="38"/>
      <c r="O17" s="38" t="s">
        <v>256</v>
      </c>
      <c r="P17" s="38" t="s">
        <v>256</v>
      </c>
      <c r="Q17" s="38" t="s">
        <v>256</v>
      </c>
      <c r="R17" s="38" t="s">
        <v>256</v>
      </c>
      <c r="T17" s="4"/>
      <c r="U17" s="4"/>
    </row>
    <row r="18" spans="1:22" x14ac:dyDescent="0.2">
      <c r="A18" s="48" t="s">
        <v>252</v>
      </c>
      <c r="B18" s="49">
        <f t="shared" si="0"/>
        <v>1.3888888888888951E-2</v>
      </c>
      <c r="C18" s="49">
        <v>0.53125</v>
      </c>
      <c r="D18" s="35"/>
      <c r="E18" s="35"/>
      <c r="F18" s="18" t="s">
        <v>56</v>
      </c>
      <c r="G18" s="18"/>
      <c r="H18" s="18"/>
      <c r="I18" s="38" t="s">
        <v>254</v>
      </c>
      <c r="J18" s="37"/>
      <c r="K18" s="37"/>
      <c r="L18" s="37"/>
      <c r="M18" s="37"/>
      <c r="N18" s="38"/>
      <c r="O18" s="38" t="s">
        <v>256</v>
      </c>
      <c r="P18" s="38" t="s">
        <v>256</v>
      </c>
      <c r="Q18" s="38" t="s">
        <v>256</v>
      </c>
      <c r="R18" s="38" t="s">
        <v>256</v>
      </c>
      <c r="T18" s="4"/>
      <c r="U18" s="4"/>
    </row>
    <row r="19" spans="1:22" s="1" customFormat="1" x14ac:dyDescent="0.2">
      <c r="A19" s="75" t="s">
        <v>252</v>
      </c>
      <c r="B19" s="77">
        <f t="shared" si="0"/>
        <v>3.4722222222223209E-3</v>
      </c>
      <c r="C19" s="77">
        <v>0.54166666666666663</v>
      </c>
      <c r="D19" s="76"/>
      <c r="E19" s="76"/>
      <c r="F19" s="31" t="s">
        <v>57</v>
      </c>
      <c r="G19" s="76"/>
      <c r="H19" s="76"/>
      <c r="I19" s="75" t="s">
        <v>254</v>
      </c>
      <c r="J19" s="76"/>
      <c r="K19" s="76"/>
      <c r="L19" s="108">
        <f t="shared" ref="L19:L40" si="1">C19</f>
        <v>0.54166666666666663</v>
      </c>
      <c r="M19" s="108"/>
      <c r="N19" s="75"/>
      <c r="O19" s="75" t="s">
        <v>256</v>
      </c>
      <c r="P19" s="75" t="s">
        <v>256</v>
      </c>
      <c r="Q19" s="75" t="s">
        <v>256</v>
      </c>
      <c r="R19" s="75" t="s">
        <v>256</v>
      </c>
      <c r="T19" s="73"/>
      <c r="U19" s="73"/>
      <c r="V19" s="74"/>
    </row>
    <row r="20" spans="1:22" x14ac:dyDescent="0.2">
      <c r="A20" s="48" t="s">
        <v>252</v>
      </c>
      <c r="B20" s="49">
        <f t="shared" si="0"/>
        <v>3.4722222222223209E-3</v>
      </c>
      <c r="C20" s="49">
        <v>0.54166666666666663</v>
      </c>
      <c r="D20" s="49">
        <v>2.0833333333333333E-3</v>
      </c>
      <c r="E20" s="49">
        <f>C20+D20</f>
        <v>0.54374999999999996</v>
      </c>
      <c r="F20" s="20" t="s">
        <v>894</v>
      </c>
      <c r="G20" s="18" t="s">
        <v>266</v>
      </c>
      <c r="H20" s="18"/>
      <c r="I20" s="38" t="s">
        <v>254</v>
      </c>
      <c r="J20" s="18" t="s">
        <v>895</v>
      </c>
      <c r="K20" s="37"/>
      <c r="L20" s="105">
        <f t="shared" si="1"/>
        <v>0.54166666666666663</v>
      </c>
      <c r="M20" s="105">
        <f t="shared" ref="M20:M39" si="2">E20</f>
        <v>0.54374999999999996</v>
      </c>
      <c r="N20" s="38"/>
      <c r="O20" s="38" t="s">
        <v>256</v>
      </c>
      <c r="P20" s="38" t="s">
        <v>256</v>
      </c>
      <c r="Q20" s="38" t="s">
        <v>256</v>
      </c>
      <c r="R20" s="38"/>
      <c r="T20" s="4"/>
      <c r="U20" s="4"/>
    </row>
    <row r="21" spans="1:22" x14ac:dyDescent="0.2">
      <c r="A21" s="48" t="s">
        <v>252</v>
      </c>
      <c r="B21" s="49">
        <f t="shared" si="0"/>
        <v>1.388888888888995E-3</v>
      </c>
      <c r="C21" s="49">
        <f>E20</f>
        <v>0.54374999999999996</v>
      </c>
      <c r="D21" s="49">
        <v>1.3888888888888889E-3</v>
      </c>
      <c r="E21" s="49">
        <f>C21+D21</f>
        <v>0.54513888888888884</v>
      </c>
      <c r="F21" s="18" t="s">
        <v>59</v>
      </c>
      <c r="G21" s="18" t="s">
        <v>266</v>
      </c>
      <c r="H21" s="18"/>
      <c r="I21" s="38" t="s">
        <v>254</v>
      </c>
      <c r="J21" s="18" t="s">
        <v>895</v>
      </c>
      <c r="K21" s="37"/>
      <c r="L21" s="105">
        <f t="shared" si="1"/>
        <v>0.54374999999999996</v>
      </c>
      <c r="M21" s="105">
        <f t="shared" si="2"/>
        <v>0.54513888888888884</v>
      </c>
      <c r="N21" s="38"/>
      <c r="O21" s="38" t="s">
        <v>256</v>
      </c>
      <c r="P21" s="38" t="s">
        <v>256</v>
      </c>
      <c r="Q21" s="38" t="s">
        <v>256</v>
      </c>
      <c r="R21" s="38"/>
      <c r="T21" s="4"/>
      <c r="U21" s="4"/>
    </row>
    <row r="22" spans="1:22" s="1" customFormat="1" x14ac:dyDescent="0.2">
      <c r="A22" s="70"/>
      <c r="B22" s="72">
        <v>0</v>
      </c>
      <c r="C22" s="72">
        <v>0.54513888888888895</v>
      </c>
      <c r="D22" s="71"/>
      <c r="E22" s="71"/>
      <c r="F22" s="32" t="s">
        <v>60</v>
      </c>
      <c r="G22" s="71"/>
      <c r="H22" s="71"/>
      <c r="I22" s="70" t="s">
        <v>254</v>
      </c>
      <c r="J22" s="71" t="s">
        <v>895</v>
      </c>
      <c r="K22" s="71"/>
      <c r="L22" s="114">
        <f t="shared" si="1"/>
        <v>0.54513888888888895</v>
      </c>
      <c r="M22" s="114"/>
      <c r="N22" s="70"/>
      <c r="O22" s="70" t="s">
        <v>256</v>
      </c>
      <c r="P22" s="70" t="s">
        <v>256</v>
      </c>
      <c r="Q22" s="70" t="s">
        <v>256</v>
      </c>
      <c r="R22" s="70" t="s">
        <v>256</v>
      </c>
      <c r="T22" s="73"/>
      <c r="U22" s="73"/>
      <c r="V22" s="74"/>
    </row>
    <row r="23" spans="1:22" x14ac:dyDescent="0.2">
      <c r="A23" s="48" t="s">
        <v>279</v>
      </c>
      <c r="B23" s="49">
        <f>C23-$C$22</f>
        <v>0</v>
      </c>
      <c r="C23" s="96">
        <v>0.54513888888888895</v>
      </c>
      <c r="D23" s="96">
        <f>SUM(D24:D29)</f>
        <v>3.7499999999999999E-2</v>
      </c>
      <c r="E23" s="96">
        <f>C23+D23</f>
        <v>0.58263888888888893</v>
      </c>
      <c r="F23" s="18" t="s">
        <v>896</v>
      </c>
      <c r="G23" s="18" t="s">
        <v>266</v>
      </c>
      <c r="H23" s="18"/>
      <c r="I23" s="38" t="s">
        <v>254</v>
      </c>
      <c r="J23" s="18" t="s">
        <v>895</v>
      </c>
      <c r="K23" s="91" t="s">
        <v>897</v>
      </c>
      <c r="L23" s="105">
        <f t="shared" si="1"/>
        <v>0.54513888888888895</v>
      </c>
      <c r="M23" s="105">
        <f t="shared" si="2"/>
        <v>0.58263888888888893</v>
      </c>
      <c r="N23" s="38"/>
      <c r="O23" s="38" t="s">
        <v>256</v>
      </c>
      <c r="P23" s="38" t="s">
        <v>256</v>
      </c>
      <c r="Q23" s="38" t="s">
        <v>256</v>
      </c>
      <c r="R23" s="38"/>
      <c r="T23" s="4"/>
      <c r="U23" s="4"/>
    </row>
    <row r="24" spans="1:22" x14ac:dyDescent="0.2">
      <c r="A24" s="48" t="s">
        <v>279</v>
      </c>
      <c r="B24" s="49">
        <f t="shared" ref="B24:B39" si="3">C24-$C$22</f>
        <v>0</v>
      </c>
      <c r="C24" s="96">
        <v>0.54513888888888895</v>
      </c>
      <c r="D24" s="96">
        <v>6.2499999999999995E-3</v>
      </c>
      <c r="E24" s="96">
        <f t="shared" ref="E24:E38" si="4">C24+D24</f>
        <v>0.55138888888888893</v>
      </c>
      <c r="F24" s="18" t="s">
        <v>898</v>
      </c>
      <c r="G24" s="18" t="s">
        <v>266</v>
      </c>
      <c r="H24" s="18"/>
      <c r="I24" s="38" t="s">
        <v>254</v>
      </c>
      <c r="J24" s="18" t="s">
        <v>895</v>
      </c>
      <c r="K24" s="91"/>
      <c r="L24" s="105">
        <f t="shared" si="1"/>
        <v>0.54513888888888895</v>
      </c>
      <c r="M24" s="105">
        <f t="shared" si="2"/>
        <v>0.55138888888888893</v>
      </c>
      <c r="N24" s="38" t="s">
        <v>255</v>
      </c>
      <c r="O24" s="38" t="s">
        <v>256</v>
      </c>
      <c r="P24" s="38" t="s">
        <v>256</v>
      </c>
      <c r="Q24" s="38" t="s">
        <v>256</v>
      </c>
      <c r="R24" s="38"/>
      <c r="T24" s="4"/>
      <c r="U24" s="4"/>
    </row>
    <row r="25" spans="1:22" x14ac:dyDescent="0.2">
      <c r="A25" s="48" t="s">
        <v>279</v>
      </c>
      <c r="B25" s="49">
        <f t="shared" si="3"/>
        <v>6.2499999999999778E-3</v>
      </c>
      <c r="C25" s="96">
        <f>E24</f>
        <v>0.55138888888888893</v>
      </c>
      <c r="D25" s="96">
        <v>6.2499999999999995E-3</v>
      </c>
      <c r="E25" s="96">
        <f t="shared" si="4"/>
        <v>0.55763888888888891</v>
      </c>
      <c r="F25" s="18" t="s">
        <v>899</v>
      </c>
      <c r="G25" s="18" t="s">
        <v>266</v>
      </c>
      <c r="H25" s="18"/>
      <c r="I25" s="38" t="s">
        <v>254</v>
      </c>
      <c r="J25" s="18" t="s">
        <v>895</v>
      </c>
      <c r="K25" s="91"/>
      <c r="L25" s="105">
        <f t="shared" si="1"/>
        <v>0.55138888888888893</v>
      </c>
      <c r="M25" s="105">
        <f t="shared" si="2"/>
        <v>0.55763888888888891</v>
      </c>
      <c r="N25" s="38" t="s">
        <v>255</v>
      </c>
      <c r="O25" s="38" t="s">
        <v>256</v>
      </c>
      <c r="P25" s="38" t="s">
        <v>256</v>
      </c>
      <c r="Q25" s="38" t="s">
        <v>256</v>
      </c>
      <c r="R25" s="38"/>
      <c r="T25" s="4"/>
      <c r="U25" s="4"/>
    </row>
    <row r="26" spans="1:22" x14ac:dyDescent="0.2">
      <c r="A26" s="48" t="s">
        <v>279</v>
      </c>
      <c r="B26" s="49">
        <f t="shared" si="3"/>
        <v>1.2499999999999956E-2</v>
      </c>
      <c r="C26" s="96">
        <f t="shared" ref="C26:C39" si="5">E25</f>
        <v>0.55763888888888891</v>
      </c>
      <c r="D26" s="96">
        <v>6.2499999999999995E-3</v>
      </c>
      <c r="E26" s="96">
        <f t="shared" si="4"/>
        <v>0.56388888888888888</v>
      </c>
      <c r="F26" s="18" t="s">
        <v>900</v>
      </c>
      <c r="G26" s="18" t="s">
        <v>266</v>
      </c>
      <c r="H26" s="18"/>
      <c r="I26" s="38" t="s">
        <v>254</v>
      </c>
      <c r="J26" s="18" t="s">
        <v>895</v>
      </c>
      <c r="K26" s="91"/>
      <c r="L26" s="105">
        <f t="shared" si="1"/>
        <v>0.55763888888888891</v>
      </c>
      <c r="M26" s="105">
        <f t="shared" si="2"/>
        <v>0.56388888888888888</v>
      </c>
      <c r="N26" s="38" t="s">
        <v>255</v>
      </c>
      <c r="O26" s="38" t="s">
        <v>256</v>
      </c>
      <c r="P26" s="38" t="s">
        <v>256</v>
      </c>
      <c r="Q26" s="38" t="s">
        <v>256</v>
      </c>
      <c r="R26" s="38"/>
      <c r="T26" s="4"/>
      <c r="U26" s="4"/>
    </row>
    <row r="27" spans="1:22" x14ac:dyDescent="0.2">
      <c r="A27" s="48" t="s">
        <v>279</v>
      </c>
      <c r="B27" s="49">
        <f t="shared" si="3"/>
        <v>1.8749999999999933E-2</v>
      </c>
      <c r="C27" s="96">
        <f t="shared" si="5"/>
        <v>0.56388888888888888</v>
      </c>
      <c r="D27" s="96">
        <v>6.2499999999999995E-3</v>
      </c>
      <c r="E27" s="96">
        <f t="shared" si="4"/>
        <v>0.57013888888888886</v>
      </c>
      <c r="F27" s="18" t="s">
        <v>901</v>
      </c>
      <c r="G27" s="18" t="s">
        <v>266</v>
      </c>
      <c r="H27" s="18"/>
      <c r="I27" s="38" t="s">
        <v>254</v>
      </c>
      <c r="J27" s="18" t="s">
        <v>895</v>
      </c>
      <c r="K27" s="91"/>
      <c r="L27" s="105">
        <f t="shared" si="1"/>
        <v>0.56388888888888888</v>
      </c>
      <c r="M27" s="105">
        <f t="shared" si="2"/>
        <v>0.57013888888888886</v>
      </c>
      <c r="N27" s="38" t="s">
        <v>255</v>
      </c>
      <c r="O27" s="38" t="s">
        <v>256</v>
      </c>
      <c r="P27" s="38" t="s">
        <v>256</v>
      </c>
      <c r="Q27" s="38" t="s">
        <v>256</v>
      </c>
      <c r="R27" s="38"/>
      <c r="T27" s="4"/>
      <c r="U27" s="4"/>
    </row>
    <row r="28" spans="1:22" x14ac:dyDescent="0.2">
      <c r="A28" s="48" t="s">
        <v>279</v>
      </c>
      <c r="B28" s="49">
        <f t="shared" si="3"/>
        <v>2.4999999999999911E-2</v>
      </c>
      <c r="C28" s="96">
        <f t="shared" si="5"/>
        <v>0.57013888888888886</v>
      </c>
      <c r="D28" s="96">
        <v>6.2499999999999995E-3</v>
      </c>
      <c r="E28" s="96">
        <f t="shared" si="4"/>
        <v>0.57638888888888884</v>
      </c>
      <c r="F28" s="18" t="s">
        <v>902</v>
      </c>
      <c r="G28" s="18" t="s">
        <v>266</v>
      </c>
      <c r="H28" s="18"/>
      <c r="I28" s="38" t="s">
        <v>254</v>
      </c>
      <c r="J28" s="18" t="s">
        <v>895</v>
      </c>
      <c r="K28" s="91"/>
      <c r="L28" s="105">
        <f t="shared" si="1"/>
        <v>0.57013888888888886</v>
      </c>
      <c r="M28" s="105">
        <f t="shared" si="2"/>
        <v>0.57638888888888884</v>
      </c>
      <c r="N28" s="38" t="s">
        <v>255</v>
      </c>
      <c r="O28" s="38" t="s">
        <v>256</v>
      </c>
      <c r="P28" s="38" t="s">
        <v>256</v>
      </c>
      <c r="Q28" s="38" t="s">
        <v>256</v>
      </c>
      <c r="R28" s="38"/>
      <c r="T28" s="4"/>
      <c r="U28" s="4"/>
    </row>
    <row r="29" spans="1:22" x14ac:dyDescent="0.2">
      <c r="A29" s="48" t="s">
        <v>279</v>
      </c>
      <c r="B29" s="49">
        <f t="shared" si="3"/>
        <v>3.1249999999999889E-2</v>
      </c>
      <c r="C29" s="96">
        <f t="shared" si="5"/>
        <v>0.57638888888888884</v>
      </c>
      <c r="D29" s="96">
        <v>6.2499999999999995E-3</v>
      </c>
      <c r="E29" s="96">
        <f t="shared" si="4"/>
        <v>0.58263888888888882</v>
      </c>
      <c r="F29" s="18" t="s">
        <v>903</v>
      </c>
      <c r="G29" s="18" t="s">
        <v>266</v>
      </c>
      <c r="H29" s="18"/>
      <c r="I29" s="38" t="s">
        <v>254</v>
      </c>
      <c r="J29" s="18" t="s">
        <v>895</v>
      </c>
      <c r="K29" s="91"/>
      <c r="L29" s="105">
        <f t="shared" si="1"/>
        <v>0.57638888888888884</v>
      </c>
      <c r="M29" s="105">
        <f t="shared" si="2"/>
        <v>0.58263888888888882</v>
      </c>
      <c r="N29" s="38" t="s">
        <v>255</v>
      </c>
      <c r="O29" s="38" t="s">
        <v>256</v>
      </c>
      <c r="P29" s="38" t="s">
        <v>256</v>
      </c>
      <c r="Q29" s="38" t="s">
        <v>256</v>
      </c>
      <c r="R29" s="38"/>
      <c r="T29" s="4"/>
      <c r="U29" s="4"/>
    </row>
    <row r="30" spans="1:22" x14ac:dyDescent="0.2">
      <c r="A30" s="48" t="s">
        <v>279</v>
      </c>
      <c r="B30" s="49">
        <f t="shared" si="3"/>
        <v>3.7499999999999867E-2</v>
      </c>
      <c r="C30" s="96">
        <f t="shared" si="5"/>
        <v>0.58263888888888882</v>
      </c>
      <c r="D30" s="96">
        <v>6.9444444444444441E-3</v>
      </c>
      <c r="E30" s="96">
        <f t="shared" si="4"/>
        <v>0.58958333333333324</v>
      </c>
      <c r="F30" s="18" t="s">
        <v>904</v>
      </c>
      <c r="G30" s="18" t="s">
        <v>266</v>
      </c>
      <c r="H30" s="18"/>
      <c r="I30" s="38" t="s">
        <v>254</v>
      </c>
      <c r="J30" s="18" t="s">
        <v>895</v>
      </c>
      <c r="K30" s="90"/>
      <c r="L30" s="105">
        <f t="shared" si="1"/>
        <v>0.58263888888888882</v>
      </c>
      <c r="M30" s="105">
        <f t="shared" si="2"/>
        <v>0.58958333333333324</v>
      </c>
      <c r="N30" s="38" t="s">
        <v>255</v>
      </c>
      <c r="O30" s="38" t="s">
        <v>256</v>
      </c>
      <c r="P30" s="38"/>
      <c r="Q30" s="38" t="s">
        <v>256</v>
      </c>
      <c r="R30" s="38"/>
      <c r="T30" s="4"/>
      <c r="U30" s="4"/>
    </row>
    <row r="31" spans="1:22" x14ac:dyDescent="0.2">
      <c r="A31" s="48" t="s">
        <v>279</v>
      </c>
      <c r="B31" s="49">
        <f t="shared" si="3"/>
        <v>4.4444444444444287E-2</v>
      </c>
      <c r="C31" s="96">
        <f t="shared" si="5"/>
        <v>0.58958333333333324</v>
      </c>
      <c r="D31" s="96">
        <v>6.9444444444444441E-3</v>
      </c>
      <c r="E31" s="96">
        <f t="shared" si="4"/>
        <v>0.59652777777777766</v>
      </c>
      <c r="F31" s="18" t="s">
        <v>905</v>
      </c>
      <c r="G31" s="18" t="s">
        <v>266</v>
      </c>
      <c r="H31" s="18"/>
      <c r="I31" s="38" t="s">
        <v>254</v>
      </c>
      <c r="J31" s="18" t="s">
        <v>895</v>
      </c>
      <c r="K31" s="90"/>
      <c r="L31" s="105">
        <f t="shared" si="1"/>
        <v>0.58958333333333324</v>
      </c>
      <c r="M31" s="105">
        <f t="shared" si="2"/>
        <v>0.59652777777777766</v>
      </c>
      <c r="N31" s="38" t="s">
        <v>255</v>
      </c>
      <c r="O31" s="38" t="s">
        <v>256</v>
      </c>
      <c r="P31" s="38"/>
      <c r="Q31" s="38" t="s">
        <v>256</v>
      </c>
      <c r="R31" s="38"/>
      <c r="T31" s="4"/>
      <c r="U31" s="4"/>
    </row>
    <row r="32" spans="1:22" x14ac:dyDescent="0.2">
      <c r="A32" s="48" t="s">
        <v>279</v>
      </c>
      <c r="B32" s="49">
        <f t="shared" si="3"/>
        <v>5.1388888888888706E-2</v>
      </c>
      <c r="C32" s="96">
        <f t="shared" si="5"/>
        <v>0.59652777777777766</v>
      </c>
      <c r="D32" s="96">
        <v>2.0833333333333333E-3</v>
      </c>
      <c r="E32" s="96">
        <f t="shared" si="4"/>
        <v>0.59861111111111098</v>
      </c>
      <c r="F32" s="18" t="s">
        <v>894</v>
      </c>
      <c r="G32" s="18" t="s">
        <v>266</v>
      </c>
      <c r="H32" s="18"/>
      <c r="I32" s="38" t="s">
        <v>254</v>
      </c>
      <c r="J32" s="18" t="s">
        <v>895</v>
      </c>
      <c r="K32" s="90"/>
      <c r="L32" s="105">
        <f t="shared" si="1"/>
        <v>0.59652777777777766</v>
      </c>
      <c r="M32" s="105">
        <f t="shared" si="2"/>
        <v>0.59861111111111098</v>
      </c>
      <c r="N32" s="38" t="s">
        <v>255</v>
      </c>
      <c r="O32" s="38" t="s">
        <v>256</v>
      </c>
      <c r="P32" s="38"/>
      <c r="Q32" s="38" t="s">
        <v>256</v>
      </c>
      <c r="R32" s="38"/>
      <c r="T32" s="4"/>
      <c r="U32" s="4"/>
    </row>
    <row r="33" spans="1:22" x14ac:dyDescent="0.2">
      <c r="A33" s="48" t="s">
        <v>279</v>
      </c>
      <c r="B33" s="49">
        <f t="shared" si="3"/>
        <v>5.3472222222222032E-2</v>
      </c>
      <c r="C33" s="96">
        <f t="shared" si="5"/>
        <v>0.59861111111111098</v>
      </c>
      <c r="D33" s="96">
        <v>1.3888888888888889E-3</v>
      </c>
      <c r="E33" s="96">
        <f t="shared" si="4"/>
        <v>0.59999999999999987</v>
      </c>
      <c r="F33" s="69" t="s">
        <v>59</v>
      </c>
      <c r="G33" s="18" t="s">
        <v>266</v>
      </c>
      <c r="H33" s="18"/>
      <c r="I33" s="38" t="s">
        <v>254</v>
      </c>
      <c r="J33" s="18" t="s">
        <v>895</v>
      </c>
      <c r="K33" s="90"/>
      <c r="L33" s="105">
        <f t="shared" si="1"/>
        <v>0.59861111111111098</v>
      </c>
      <c r="M33" s="105">
        <f t="shared" si="2"/>
        <v>0.59999999999999987</v>
      </c>
      <c r="N33" s="38" t="s">
        <v>255</v>
      </c>
      <c r="O33" s="38" t="s">
        <v>256</v>
      </c>
      <c r="P33" s="38"/>
      <c r="Q33" s="38" t="s">
        <v>256</v>
      </c>
      <c r="R33" s="38"/>
      <c r="T33" s="4"/>
      <c r="U33" s="4"/>
    </row>
    <row r="34" spans="1:22" x14ac:dyDescent="0.2">
      <c r="A34" s="48" t="s">
        <v>279</v>
      </c>
      <c r="B34" s="49">
        <f t="shared" si="3"/>
        <v>5.4861111111110916E-2</v>
      </c>
      <c r="C34" s="96">
        <f>E33</f>
        <v>0.59999999999999987</v>
      </c>
      <c r="D34" s="96">
        <f>SUM(D35:D39)</f>
        <v>4.3113425925925923E-2</v>
      </c>
      <c r="E34" s="96">
        <f t="shared" si="4"/>
        <v>0.6431134259259258</v>
      </c>
      <c r="F34" s="18" t="s">
        <v>906</v>
      </c>
      <c r="G34" s="18" t="s">
        <v>266</v>
      </c>
      <c r="H34" s="18"/>
      <c r="I34" s="38" t="s">
        <v>254</v>
      </c>
      <c r="J34" s="18" t="s">
        <v>895</v>
      </c>
      <c r="K34" s="91" t="s">
        <v>907</v>
      </c>
      <c r="L34" s="105">
        <f t="shared" si="1"/>
        <v>0.59999999999999987</v>
      </c>
      <c r="M34" s="105">
        <f t="shared" si="2"/>
        <v>0.6431134259259258</v>
      </c>
      <c r="N34" s="38"/>
      <c r="O34" s="38" t="s">
        <v>256</v>
      </c>
      <c r="P34" s="38" t="s">
        <v>256</v>
      </c>
      <c r="Q34" s="38" t="s">
        <v>256</v>
      </c>
      <c r="R34" s="38"/>
      <c r="T34" s="4"/>
      <c r="U34" s="4"/>
    </row>
    <row r="35" spans="1:22" x14ac:dyDescent="0.2">
      <c r="A35" s="48" t="s">
        <v>279</v>
      </c>
      <c r="B35" s="49">
        <f t="shared" si="3"/>
        <v>5.4861111111110916E-2</v>
      </c>
      <c r="C35" s="96">
        <f>C34</f>
        <v>0.59999999999999987</v>
      </c>
      <c r="D35" s="96">
        <v>8.6226851851851846E-3</v>
      </c>
      <c r="E35" s="96">
        <f t="shared" si="4"/>
        <v>0.60862268518518503</v>
      </c>
      <c r="F35" s="18" t="s">
        <v>908</v>
      </c>
      <c r="G35" s="18" t="s">
        <v>266</v>
      </c>
      <c r="H35" s="18"/>
      <c r="I35" s="38" t="s">
        <v>254</v>
      </c>
      <c r="J35" s="18" t="s">
        <v>895</v>
      </c>
      <c r="K35" s="91"/>
      <c r="L35" s="105">
        <f t="shared" si="1"/>
        <v>0.59999999999999987</v>
      </c>
      <c r="M35" s="105">
        <f t="shared" si="2"/>
        <v>0.60862268518518503</v>
      </c>
      <c r="N35" s="38" t="s">
        <v>255</v>
      </c>
      <c r="O35" s="38" t="s">
        <v>256</v>
      </c>
      <c r="P35" s="38" t="s">
        <v>256</v>
      </c>
      <c r="Q35" s="38" t="s">
        <v>256</v>
      </c>
      <c r="R35" s="38"/>
      <c r="T35" s="4"/>
      <c r="U35" s="4"/>
    </row>
    <row r="36" spans="1:22" x14ac:dyDescent="0.2">
      <c r="A36" s="48" t="s">
        <v>279</v>
      </c>
      <c r="B36" s="49">
        <f t="shared" si="3"/>
        <v>6.348379629629608E-2</v>
      </c>
      <c r="C36" s="96">
        <f t="shared" si="5"/>
        <v>0.60862268518518503</v>
      </c>
      <c r="D36" s="96">
        <v>8.6226851851851846E-3</v>
      </c>
      <c r="E36" s="96">
        <f t="shared" si="4"/>
        <v>0.61724537037037019</v>
      </c>
      <c r="F36" s="18" t="s">
        <v>909</v>
      </c>
      <c r="G36" s="18" t="s">
        <v>266</v>
      </c>
      <c r="H36" s="18"/>
      <c r="I36" s="38" t="s">
        <v>254</v>
      </c>
      <c r="J36" s="18" t="s">
        <v>895</v>
      </c>
      <c r="K36" s="91"/>
      <c r="L36" s="105">
        <f t="shared" si="1"/>
        <v>0.60862268518518503</v>
      </c>
      <c r="M36" s="105">
        <f t="shared" si="2"/>
        <v>0.61724537037037019</v>
      </c>
      <c r="N36" s="38" t="s">
        <v>255</v>
      </c>
      <c r="O36" s="38" t="s">
        <v>256</v>
      </c>
      <c r="P36" s="38" t="s">
        <v>256</v>
      </c>
      <c r="Q36" s="38" t="s">
        <v>256</v>
      </c>
      <c r="R36" s="38"/>
      <c r="T36" s="4"/>
      <c r="U36" s="4"/>
    </row>
    <row r="37" spans="1:22" x14ac:dyDescent="0.2">
      <c r="A37" s="48" t="s">
        <v>279</v>
      </c>
      <c r="B37" s="49">
        <f t="shared" si="3"/>
        <v>7.2106481481481244E-2</v>
      </c>
      <c r="C37" s="96">
        <f t="shared" si="5"/>
        <v>0.61724537037037019</v>
      </c>
      <c r="D37" s="96">
        <v>8.6226851851851846E-3</v>
      </c>
      <c r="E37" s="96">
        <f t="shared" si="4"/>
        <v>0.62586805555555536</v>
      </c>
      <c r="F37" s="18" t="s">
        <v>910</v>
      </c>
      <c r="G37" s="18" t="s">
        <v>266</v>
      </c>
      <c r="H37" s="18"/>
      <c r="I37" s="38" t="s">
        <v>254</v>
      </c>
      <c r="J37" s="18" t="s">
        <v>895</v>
      </c>
      <c r="K37" s="91"/>
      <c r="L37" s="105">
        <f t="shared" si="1"/>
        <v>0.61724537037037019</v>
      </c>
      <c r="M37" s="105">
        <f t="shared" si="2"/>
        <v>0.62586805555555536</v>
      </c>
      <c r="N37" s="38" t="s">
        <v>255</v>
      </c>
      <c r="O37" s="38" t="s">
        <v>256</v>
      </c>
      <c r="P37" s="38" t="s">
        <v>256</v>
      </c>
      <c r="Q37" s="38" t="s">
        <v>256</v>
      </c>
      <c r="R37" s="38"/>
      <c r="T37" s="4"/>
      <c r="U37" s="4"/>
    </row>
    <row r="38" spans="1:22" x14ac:dyDescent="0.2">
      <c r="A38" s="48" t="s">
        <v>279</v>
      </c>
      <c r="B38" s="49">
        <f t="shared" si="3"/>
        <v>8.0729166666666408E-2</v>
      </c>
      <c r="C38" s="96">
        <f t="shared" si="5"/>
        <v>0.62586805555555536</v>
      </c>
      <c r="D38" s="96">
        <v>8.6226851851851846E-3</v>
      </c>
      <c r="E38" s="96">
        <f t="shared" si="4"/>
        <v>0.63449074074074052</v>
      </c>
      <c r="F38" s="18" t="s">
        <v>911</v>
      </c>
      <c r="G38" s="18" t="s">
        <v>266</v>
      </c>
      <c r="H38" s="18"/>
      <c r="I38" s="38" t="s">
        <v>254</v>
      </c>
      <c r="J38" s="18" t="s">
        <v>895</v>
      </c>
      <c r="K38" s="91"/>
      <c r="L38" s="105">
        <f t="shared" si="1"/>
        <v>0.62586805555555536</v>
      </c>
      <c r="M38" s="105">
        <f t="shared" si="2"/>
        <v>0.63449074074074052</v>
      </c>
      <c r="N38" s="38" t="s">
        <v>255</v>
      </c>
      <c r="O38" s="38" t="s">
        <v>256</v>
      </c>
      <c r="P38" s="38" t="s">
        <v>256</v>
      </c>
      <c r="Q38" s="38" t="s">
        <v>256</v>
      </c>
      <c r="R38" s="38"/>
      <c r="T38" s="4"/>
      <c r="U38" s="4"/>
    </row>
    <row r="39" spans="1:22" x14ac:dyDescent="0.2">
      <c r="A39" s="48" t="s">
        <v>279</v>
      </c>
      <c r="B39" s="49">
        <f t="shared" si="3"/>
        <v>8.9351851851851571E-2</v>
      </c>
      <c r="C39" s="96">
        <f t="shared" si="5"/>
        <v>0.63449074074074052</v>
      </c>
      <c r="D39" s="96">
        <v>8.6226851851851846E-3</v>
      </c>
      <c r="E39" s="96">
        <f>C39+D39</f>
        <v>0.64311342592592569</v>
      </c>
      <c r="F39" s="18" t="s">
        <v>912</v>
      </c>
      <c r="G39" s="18" t="s">
        <v>266</v>
      </c>
      <c r="H39" s="18"/>
      <c r="I39" s="38" t="s">
        <v>254</v>
      </c>
      <c r="J39" s="18" t="s">
        <v>895</v>
      </c>
      <c r="K39" s="91"/>
      <c r="L39" s="105">
        <f t="shared" si="1"/>
        <v>0.63449074074074052</v>
      </c>
      <c r="M39" s="105">
        <f t="shared" si="2"/>
        <v>0.64311342592592569</v>
      </c>
      <c r="N39" s="38" t="s">
        <v>255</v>
      </c>
      <c r="O39" s="38" t="s">
        <v>256</v>
      </c>
      <c r="P39" s="38" t="s">
        <v>256</v>
      </c>
      <c r="Q39" s="38" t="s">
        <v>256</v>
      </c>
      <c r="R39" s="38"/>
      <c r="T39" s="4"/>
      <c r="U39" s="4"/>
    </row>
    <row r="40" spans="1:22" s="1" customFormat="1" x14ac:dyDescent="0.2">
      <c r="A40" s="80" t="s">
        <v>279</v>
      </c>
      <c r="B40" s="78">
        <f>C40-$C$22</f>
        <v>0.10069444444444442</v>
      </c>
      <c r="C40" s="79">
        <v>0.64583333333333337</v>
      </c>
      <c r="D40" s="81"/>
      <c r="E40" s="81"/>
      <c r="F40" s="33" t="s">
        <v>62</v>
      </c>
      <c r="G40" s="81"/>
      <c r="H40" s="81"/>
      <c r="I40" s="80" t="s">
        <v>254</v>
      </c>
      <c r="J40" s="81"/>
      <c r="K40" s="81"/>
      <c r="L40" s="109">
        <f t="shared" si="1"/>
        <v>0.64583333333333337</v>
      </c>
      <c r="M40" s="109"/>
      <c r="N40" s="80"/>
      <c r="O40" s="80" t="s">
        <v>256</v>
      </c>
      <c r="P40" s="80" t="s">
        <v>256</v>
      </c>
      <c r="Q40" s="80" t="s">
        <v>256</v>
      </c>
      <c r="R40" s="80" t="s">
        <v>256</v>
      </c>
      <c r="T40" s="73"/>
      <c r="U40" s="73"/>
      <c r="V40" s="74"/>
    </row>
    <row r="41" spans="1:22" x14ac:dyDescent="0.2">
      <c r="A41" s="48" t="s">
        <v>252</v>
      </c>
      <c r="B41" s="49">
        <f t="shared" ref="B41:B53" si="6">$C$54-C41</f>
        <v>0.11805555555555558</v>
      </c>
      <c r="C41" s="49">
        <v>0.63541666666666663</v>
      </c>
      <c r="D41" s="35"/>
      <c r="E41" s="35"/>
      <c r="F41" s="39" t="s">
        <v>257</v>
      </c>
      <c r="G41" s="18"/>
      <c r="H41" s="18"/>
      <c r="I41" s="38" t="s">
        <v>254</v>
      </c>
      <c r="J41" s="37"/>
      <c r="K41" s="37"/>
      <c r="L41" s="37"/>
      <c r="M41" s="37"/>
      <c r="N41" s="38"/>
      <c r="O41" s="38"/>
      <c r="P41" s="38"/>
      <c r="Q41" s="38"/>
      <c r="R41" s="38"/>
      <c r="T41" s="4"/>
      <c r="U41" s="4"/>
    </row>
    <row r="42" spans="1:22" s="85" customFormat="1" x14ac:dyDescent="0.2">
      <c r="A42" s="48" t="s">
        <v>252</v>
      </c>
      <c r="B42" s="49">
        <f t="shared" si="6"/>
        <v>0.10763888888888884</v>
      </c>
      <c r="C42" s="96">
        <v>0.64583333333333337</v>
      </c>
      <c r="D42" s="49">
        <f>E42-C42</f>
        <v>2.0833333333333259E-2</v>
      </c>
      <c r="E42" s="49">
        <v>0.66666666666666663</v>
      </c>
      <c r="F42" s="84" t="s">
        <v>913</v>
      </c>
      <c r="G42" s="83"/>
      <c r="H42" s="83"/>
      <c r="I42" s="38" t="s">
        <v>254</v>
      </c>
      <c r="J42" s="37"/>
      <c r="K42" s="37"/>
      <c r="L42" s="37"/>
      <c r="M42" s="37"/>
      <c r="N42" s="38"/>
      <c r="O42" s="82"/>
      <c r="P42" s="82"/>
      <c r="Q42" s="82"/>
      <c r="R42" s="82" t="s">
        <v>256</v>
      </c>
      <c r="T42" s="86"/>
      <c r="U42" s="86"/>
      <c r="V42" s="87"/>
    </row>
    <row r="43" spans="1:22" x14ac:dyDescent="0.2">
      <c r="A43" s="48" t="s">
        <v>252</v>
      </c>
      <c r="B43" s="49">
        <f t="shared" si="6"/>
        <v>8.680555555555558E-2</v>
      </c>
      <c r="C43" s="49">
        <v>0.66666666666666663</v>
      </c>
      <c r="D43" s="49">
        <f>E43-C43</f>
        <v>0.20833333333333337</v>
      </c>
      <c r="E43" s="49">
        <v>0.875</v>
      </c>
      <c r="F43" s="18" t="s">
        <v>892</v>
      </c>
      <c r="G43" s="18"/>
      <c r="H43" s="18"/>
      <c r="I43" s="38" t="s">
        <v>254</v>
      </c>
      <c r="J43" s="37"/>
      <c r="K43" s="37"/>
      <c r="L43" s="37"/>
      <c r="M43" s="37"/>
      <c r="N43" s="38"/>
      <c r="O43" s="38"/>
      <c r="P43" s="38"/>
      <c r="Q43" s="38"/>
      <c r="R43" s="38" t="s">
        <v>256</v>
      </c>
      <c r="T43" s="4"/>
      <c r="U43" s="4"/>
    </row>
    <row r="44" spans="1:22" x14ac:dyDescent="0.2">
      <c r="A44" s="48" t="s">
        <v>252</v>
      </c>
      <c r="B44" s="49">
        <f t="shared" si="6"/>
        <v>8.680555555555558E-2</v>
      </c>
      <c r="C44" s="49">
        <v>0.66666666666666663</v>
      </c>
      <c r="D44" s="35"/>
      <c r="E44" s="35"/>
      <c r="F44" s="20" t="s">
        <v>53</v>
      </c>
      <c r="G44" s="18"/>
      <c r="H44" s="18"/>
      <c r="I44" s="38" t="s">
        <v>254</v>
      </c>
      <c r="J44" s="37"/>
      <c r="K44" s="37"/>
      <c r="L44" s="37"/>
      <c r="M44" s="37"/>
      <c r="N44" s="38"/>
      <c r="O44" s="38"/>
      <c r="P44" s="38"/>
      <c r="Q44" s="38"/>
      <c r="R44" s="38" t="s">
        <v>256</v>
      </c>
      <c r="T44" s="4"/>
      <c r="U44" s="4"/>
    </row>
    <row r="45" spans="1:22" x14ac:dyDescent="0.2">
      <c r="A45" s="48" t="s">
        <v>252</v>
      </c>
      <c r="B45" s="49">
        <f t="shared" si="6"/>
        <v>7.638888888888884E-2</v>
      </c>
      <c r="C45" s="49">
        <v>0.67708333333333337</v>
      </c>
      <c r="D45" s="35"/>
      <c r="E45" s="35"/>
      <c r="F45" s="47" t="s">
        <v>361</v>
      </c>
      <c r="G45" s="18"/>
      <c r="H45" s="18"/>
      <c r="I45" s="38" t="s">
        <v>254</v>
      </c>
      <c r="J45" s="37"/>
      <c r="K45" s="37"/>
      <c r="L45" s="37"/>
      <c r="M45" s="37"/>
      <c r="N45" s="38"/>
      <c r="O45" s="38"/>
      <c r="P45" s="38"/>
      <c r="Q45" s="38"/>
      <c r="R45" s="38"/>
      <c r="T45" s="4"/>
      <c r="U45" s="4"/>
    </row>
    <row r="46" spans="1:22" x14ac:dyDescent="0.2">
      <c r="A46" s="48" t="s">
        <v>252</v>
      </c>
      <c r="B46" s="49">
        <f t="shared" si="6"/>
        <v>6.597222222222221E-2</v>
      </c>
      <c r="C46" s="49">
        <v>0.6875</v>
      </c>
      <c r="D46" s="49">
        <f>E46-C46</f>
        <v>4.861111111111116E-2</v>
      </c>
      <c r="E46" s="49">
        <v>0.73611111111111116</v>
      </c>
      <c r="F46" s="18" t="s">
        <v>893</v>
      </c>
      <c r="G46" s="18" t="s">
        <v>266</v>
      </c>
      <c r="H46" s="18"/>
      <c r="I46" s="38" t="s">
        <v>254</v>
      </c>
      <c r="J46" s="37"/>
      <c r="K46" s="37"/>
      <c r="L46" s="37"/>
      <c r="M46" s="37"/>
      <c r="N46" s="38"/>
      <c r="O46" s="38" t="s">
        <v>256</v>
      </c>
      <c r="P46" s="38" t="s">
        <v>256</v>
      </c>
      <c r="Q46" s="38" t="s">
        <v>256</v>
      </c>
      <c r="R46" s="38" t="s">
        <v>256</v>
      </c>
      <c r="T46" s="4"/>
      <c r="U46" s="4"/>
    </row>
    <row r="47" spans="1:22" x14ac:dyDescent="0.2">
      <c r="A47" s="48" t="s">
        <v>252</v>
      </c>
      <c r="B47" s="49">
        <f t="shared" si="6"/>
        <v>6.597222222222221E-2</v>
      </c>
      <c r="C47" s="49">
        <v>0.6875</v>
      </c>
      <c r="D47" s="35"/>
      <c r="E47" s="35"/>
      <c r="F47" s="18" t="s">
        <v>55</v>
      </c>
      <c r="G47" s="18"/>
      <c r="H47" s="18"/>
      <c r="I47" s="38" t="s">
        <v>254</v>
      </c>
      <c r="J47" s="37"/>
      <c r="K47" s="37"/>
      <c r="L47" s="37"/>
      <c r="M47" s="37"/>
      <c r="N47" s="38"/>
      <c r="O47" s="38"/>
      <c r="P47" s="38"/>
      <c r="Q47" s="38"/>
      <c r="R47" s="38" t="s">
        <v>256</v>
      </c>
      <c r="T47" s="4"/>
      <c r="U47" s="4"/>
    </row>
    <row r="48" spans="1:22" x14ac:dyDescent="0.2">
      <c r="A48" s="48" t="s">
        <v>252</v>
      </c>
      <c r="B48" s="49">
        <f t="shared" si="6"/>
        <v>4.513888888888884E-2</v>
      </c>
      <c r="C48" s="49">
        <v>0.70833333333333337</v>
      </c>
      <c r="D48" s="35"/>
      <c r="E48" s="35"/>
      <c r="F48" s="18" t="s">
        <v>52</v>
      </c>
      <c r="G48" s="18"/>
      <c r="H48" s="18"/>
      <c r="I48" s="38" t="s">
        <v>254</v>
      </c>
      <c r="J48" s="37"/>
      <c r="K48" s="37"/>
      <c r="L48" s="37"/>
      <c r="M48" s="37"/>
      <c r="N48" s="38"/>
      <c r="O48" s="38"/>
      <c r="P48" s="38"/>
      <c r="Q48" s="38"/>
      <c r="R48" s="38"/>
      <c r="T48" s="4"/>
      <c r="U48" s="4"/>
    </row>
    <row r="49" spans="1:22" x14ac:dyDescent="0.2">
      <c r="A49" s="48" t="s">
        <v>252</v>
      </c>
      <c r="B49" s="49">
        <f t="shared" si="6"/>
        <v>1.7361111111111049E-2</v>
      </c>
      <c r="C49" s="49">
        <v>0.73611111111111116</v>
      </c>
      <c r="D49" s="35"/>
      <c r="E49" s="35"/>
      <c r="F49" s="18" t="s">
        <v>367</v>
      </c>
      <c r="G49" s="18" t="s">
        <v>266</v>
      </c>
      <c r="H49" s="18"/>
      <c r="I49" s="38" t="s">
        <v>254</v>
      </c>
      <c r="J49" s="37"/>
      <c r="K49" s="37"/>
      <c r="L49" s="37"/>
      <c r="M49" s="37"/>
      <c r="N49" s="38"/>
      <c r="O49" s="38" t="s">
        <v>256</v>
      </c>
      <c r="P49" s="38" t="s">
        <v>256</v>
      </c>
      <c r="Q49" s="38" t="s">
        <v>256</v>
      </c>
      <c r="R49" s="38" t="s">
        <v>256</v>
      </c>
      <c r="T49" s="4"/>
      <c r="U49" s="4"/>
    </row>
    <row r="50" spans="1:22" x14ac:dyDescent="0.2">
      <c r="A50" s="48" t="s">
        <v>252</v>
      </c>
      <c r="B50" s="49">
        <f t="shared" si="6"/>
        <v>1.388888888888884E-2</v>
      </c>
      <c r="C50" s="49">
        <v>0.73958333333333337</v>
      </c>
      <c r="D50" s="35"/>
      <c r="E50" s="35"/>
      <c r="F50" s="18" t="s">
        <v>56</v>
      </c>
      <c r="G50" s="18"/>
      <c r="H50" s="18"/>
      <c r="I50" s="38" t="s">
        <v>254</v>
      </c>
      <c r="J50" s="37"/>
      <c r="K50" s="37"/>
      <c r="L50" s="37"/>
      <c r="M50" s="37"/>
      <c r="N50" s="38"/>
      <c r="O50" s="38" t="s">
        <v>256</v>
      </c>
      <c r="P50" s="38" t="s">
        <v>256</v>
      </c>
      <c r="Q50" s="38" t="s">
        <v>256</v>
      </c>
      <c r="R50" s="38" t="s">
        <v>256</v>
      </c>
      <c r="T50" s="4"/>
      <c r="U50" s="4"/>
    </row>
    <row r="51" spans="1:22" s="1" customFormat="1" x14ac:dyDescent="0.2">
      <c r="A51" s="75" t="s">
        <v>252</v>
      </c>
      <c r="B51" s="66">
        <f t="shared" si="6"/>
        <v>3.4722222222222099E-3</v>
      </c>
      <c r="C51" s="77">
        <v>0.75</v>
      </c>
      <c r="D51" s="76"/>
      <c r="E51" s="76"/>
      <c r="F51" s="31" t="s">
        <v>57</v>
      </c>
      <c r="G51" s="76"/>
      <c r="H51" s="76"/>
      <c r="I51" s="75" t="s">
        <v>254</v>
      </c>
      <c r="J51" s="76"/>
      <c r="K51" s="76"/>
      <c r="L51" s="108">
        <f t="shared" ref="L51:L75" si="7">C51</f>
        <v>0.75</v>
      </c>
      <c r="M51" s="108"/>
      <c r="N51" s="75"/>
      <c r="O51" s="75" t="s">
        <v>256</v>
      </c>
      <c r="P51" s="75" t="s">
        <v>256</v>
      </c>
      <c r="Q51" s="75" t="s">
        <v>256</v>
      </c>
      <c r="R51" s="75" t="s">
        <v>256</v>
      </c>
      <c r="T51" s="73"/>
      <c r="U51" s="73"/>
      <c r="V51" s="74"/>
    </row>
    <row r="52" spans="1:22" x14ac:dyDescent="0.2">
      <c r="A52" s="48" t="s">
        <v>252</v>
      </c>
      <c r="B52" s="49">
        <f t="shared" si="6"/>
        <v>3.4722222222222099E-3</v>
      </c>
      <c r="C52" s="49">
        <v>0.75</v>
      </c>
      <c r="D52" s="49">
        <v>2.0833333333333333E-3</v>
      </c>
      <c r="E52" s="49">
        <f>C52+D52</f>
        <v>0.75208333333333333</v>
      </c>
      <c r="F52" s="20" t="s">
        <v>894</v>
      </c>
      <c r="G52" s="18" t="s">
        <v>266</v>
      </c>
      <c r="H52" s="18"/>
      <c r="I52" s="38" t="s">
        <v>254</v>
      </c>
      <c r="J52" s="18" t="s">
        <v>914</v>
      </c>
      <c r="K52" s="37"/>
      <c r="L52" s="105">
        <f t="shared" si="7"/>
        <v>0.75</v>
      </c>
      <c r="M52" s="105">
        <f t="shared" ref="M52:M74" si="8">E52</f>
        <v>0.75208333333333333</v>
      </c>
      <c r="N52" s="38"/>
      <c r="O52" s="38" t="s">
        <v>256</v>
      </c>
      <c r="P52" s="38" t="s">
        <v>256</v>
      </c>
      <c r="Q52" s="38" t="s">
        <v>256</v>
      </c>
      <c r="R52" s="38"/>
      <c r="T52" s="4"/>
      <c r="U52" s="4"/>
    </row>
    <row r="53" spans="1:22" x14ac:dyDescent="0.2">
      <c r="A53" s="48" t="s">
        <v>252</v>
      </c>
      <c r="B53" s="49">
        <f t="shared" si="6"/>
        <v>1.388888888888884E-3</v>
      </c>
      <c r="C53" s="49">
        <f>E52</f>
        <v>0.75208333333333333</v>
      </c>
      <c r="D53" s="49">
        <v>1.3888888888888889E-3</v>
      </c>
      <c r="E53" s="49">
        <f>C53+D53</f>
        <v>0.75347222222222221</v>
      </c>
      <c r="F53" s="18" t="s">
        <v>59</v>
      </c>
      <c r="G53" s="18" t="s">
        <v>266</v>
      </c>
      <c r="H53" s="18"/>
      <c r="I53" s="38" t="s">
        <v>254</v>
      </c>
      <c r="J53" s="18" t="s">
        <v>914</v>
      </c>
      <c r="K53" s="37"/>
      <c r="L53" s="105">
        <f t="shared" si="7"/>
        <v>0.75208333333333333</v>
      </c>
      <c r="M53" s="105">
        <f t="shared" si="8"/>
        <v>0.75347222222222221</v>
      </c>
      <c r="N53" s="38"/>
      <c r="O53" s="38" t="s">
        <v>256</v>
      </c>
      <c r="P53" s="38" t="s">
        <v>256</v>
      </c>
      <c r="Q53" s="38" t="s">
        <v>256</v>
      </c>
      <c r="R53" s="38"/>
      <c r="T53" s="4"/>
      <c r="U53" s="4"/>
    </row>
    <row r="54" spans="1:22" s="1" customFormat="1" x14ac:dyDescent="0.2">
      <c r="A54" s="70"/>
      <c r="B54" s="72">
        <v>0</v>
      </c>
      <c r="C54" s="72">
        <v>0.75347222222222221</v>
      </c>
      <c r="D54" s="71"/>
      <c r="E54" s="71"/>
      <c r="F54" s="32" t="s">
        <v>60</v>
      </c>
      <c r="G54" s="71"/>
      <c r="H54" s="71"/>
      <c r="I54" s="70" t="s">
        <v>254</v>
      </c>
      <c r="J54" s="71" t="s">
        <v>914</v>
      </c>
      <c r="K54" s="71"/>
      <c r="L54" s="114">
        <f t="shared" si="7"/>
        <v>0.75347222222222221</v>
      </c>
      <c r="M54" s="114"/>
      <c r="N54" s="70"/>
      <c r="O54" s="70" t="s">
        <v>256</v>
      </c>
      <c r="P54" s="70" t="s">
        <v>256</v>
      </c>
      <c r="Q54" s="70" t="s">
        <v>256</v>
      </c>
      <c r="R54" s="70" t="s">
        <v>256</v>
      </c>
      <c r="T54" s="73"/>
      <c r="U54" s="73"/>
      <c r="V54" s="74"/>
    </row>
    <row r="55" spans="1:22" x14ac:dyDescent="0.2">
      <c r="A55" s="48" t="s">
        <v>279</v>
      </c>
      <c r="B55" s="49">
        <f>C55-$C$54</f>
        <v>0</v>
      </c>
      <c r="C55" s="49">
        <v>0.75347222222222221</v>
      </c>
      <c r="D55" s="96">
        <f>SUM(D56:D61)</f>
        <v>4.1319444444444443E-2</v>
      </c>
      <c r="E55" s="49">
        <f>C55+D55</f>
        <v>0.79479166666666667</v>
      </c>
      <c r="F55" s="18" t="s">
        <v>915</v>
      </c>
      <c r="G55" s="18" t="s">
        <v>266</v>
      </c>
      <c r="H55" s="18"/>
      <c r="I55" s="38" t="s">
        <v>254</v>
      </c>
      <c r="J55" s="18" t="s">
        <v>914</v>
      </c>
      <c r="K55" s="91" t="s">
        <v>916</v>
      </c>
      <c r="L55" s="105">
        <f t="shared" si="7"/>
        <v>0.75347222222222221</v>
      </c>
      <c r="M55" s="105">
        <f t="shared" si="8"/>
        <v>0.79479166666666667</v>
      </c>
      <c r="N55" s="38"/>
      <c r="O55" s="38"/>
      <c r="P55" s="38"/>
      <c r="Q55" s="38"/>
      <c r="R55" s="38"/>
      <c r="T55" s="4"/>
      <c r="U55" s="4"/>
    </row>
    <row r="56" spans="1:22" x14ac:dyDescent="0.2">
      <c r="A56" s="48" t="s">
        <v>279</v>
      </c>
      <c r="B56" s="49">
        <f>C56-$C$54</f>
        <v>0</v>
      </c>
      <c r="C56" s="49">
        <f>C55</f>
        <v>0.75347222222222221</v>
      </c>
      <c r="D56" s="96">
        <v>6.8865740740740736E-3</v>
      </c>
      <c r="E56" s="49">
        <f t="shared" ref="E56:E74" si="9">C56+D56</f>
        <v>0.76035879629629632</v>
      </c>
      <c r="F56" s="18" t="s">
        <v>917</v>
      </c>
      <c r="G56" s="18" t="s">
        <v>266</v>
      </c>
      <c r="H56" s="18"/>
      <c r="I56" s="38" t="s">
        <v>254</v>
      </c>
      <c r="J56" s="18" t="s">
        <v>914</v>
      </c>
      <c r="K56" s="91"/>
      <c r="L56" s="105">
        <f t="shared" si="7"/>
        <v>0.75347222222222221</v>
      </c>
      <c r="M56" s="105">
        <f t="shared" si="8"/>
        <v>0.76035879629629632</v>
      </c>
      <c r="N56" s="38" t="s">
        <v>255</v>
      </c>
      <c r="O56" s="38" t="s">
        <v>256</v>
      </c>
      <c r="P56" s="38" t="s">
        <v>256</v>
      </c>
      <c r="Q56" s="38" t="s">
        <v>256</v>
      </c>
      <c r="R56" s="38"/>
      <c r="T56" s="4"/>
      <c r="U56" s="4"/>
    </row>
    <row r="57" spans="1:22" x14ac:dyDescent="0.2">
      <c r="A57" s="48" t="s">
        <v>279</v>
      </c>
      <c r="B57" s="49">
        <f>C57-$C$54</f>
        <v>6.8865740740741144E-3</v>
      </c>
      <c r="C57" s="49">
        <f>E56</f>
        <v>0.76035879629629632</v>
      </c>
      <c r="D57" s="96">
        <v>6.8865740740740736E-3</v>
      </c>
      <c r="E57" s="49">
        <f t="shared" si="9"/>
        <v>0.76724537037037044</v>
      </c>
      <c r="F57" s="18" t="s">
        <v>918</v>
      </c>
      <c r="G57" s="18" t="s">
        <v>266</v>
      </c>
      <c r="H57" s="18"/>
      <c r="I57" s="38" t="s">
        <v>254</v>
      </c>
      <c r="J57" s="18" t="s">
        <v>914</v>
      </c>
      <c r="K57" s="91"/>
      <c r="L57" s="105">
        <f t="shared" si="7"/>
        <v>0.76035879629629632</v>
      </c>
      <c r="M57" s="105">
        <f t="shared" si="8"/>
        <v>0.76724537037037044</v>
      </c>
      <c r="N57" s="38" t="s">
        <v>255</v>
      </c>
      <c r="O57" s="38" t="s">
        <v>256</v>
      </c>
      <c r="P57" s="38" t="s">
        <v>256</v>
      </c>
      <c r="Q57" s="38" t="s">
        <v>256</v>
      </c>
      <c r="R57" s="38"/>
      <c r="T57" s="4"/>
      <c r="U57" s="4"/>
    </row>
    <row r="58" spans="1:22" x14ac:dyDescent="0.2">
      <c r="A58" s="48" t="s">
        <v>279</v>
      </c>
      <c r="B58" s="49">
        <f>C58-$C$54</f>
        <v>1.3773148148148229E-2</v>
      </c>
      <c r="C58" s="49">
        <f t="shared" ref="C58:C74" si="10">E57</f>
        <v>0.76724537037037044</v>
      </c>
      <c r="D58" s="96">
        <v>6.8865740740740736E-3</v>
      </c>
      <c r="E58" s="49">
        <f t="shared" si="9"/>
        <v>0.77413194444444455</v>
      </c>
      <c r="F58" s="18" t="s">
        <v>919</v>
      </c>
      <c r="G58" s="18" t="s">
        <v>266</v>
      </c>
      <c r="H58" s="18"/>
      <c r="I58" s="38" t="s">
        <v>254</v>
      </c>
      <c r="J58" s="18" t="s">
        <v>914</v>
      </c>
      <c r="K58" s="91"/>
      <c r="L58" s="105">
        <f t="shared" si="7"/>
        <v>0.76724537037037044</v>
      </c>
      <c r="M58" s="105">
        <f t="shared" si="8"/>
        <v>0.77413194444444455</v>
      </c>
      <c r="N58" s="38" t="s">
        <v>255</v>
      </c>
      <c r="O58" s="38" t="s">
        <v>256</v>
      </c>
      <c r="P58" s="38" t="s">
        <v>256</v>
      </c>
      <c r="Q58" s="38" t="s">
        <v>256</v>
      </c>
      <c r="R58" s="38"/>
      <c r="T58" s="4"/>
      <c r="U58" s="4"/>
    </row>
    <row r="59" spans="1:22" x14ac:dyDescent="0.2">
      <c r="A59" s="48" t="s">
        <v>279</v>
      </c>
      <c r="B59" s="49">
        <f t="shared" ref="B59:B83" si="11">C59-$C$54</f>
        <v>2.0659722222222343E-2</v>
      </c>
      <c r="C59" s="49">
        <f t="shared" si="10"/>
        <v>0.77413194444444455</v>
      </c>
      <c r="D59" s="96">
        <v>6.8865740740740736E-3</v>
      </c>
      <c r="E59" s="49">
        <f t="shared" si="9"/>
        <v>0.78101851851851867</v>
      </c>
      <c r="F59" s="18" t="s">
        <v>920</v>
      </c>
      <c r="G59" s="18" t="s">
        <v>266</v>
      </c>
      <c r="H59" s="18"/>
      <c r="I59" s="38" t="s">
        <v>254</v>
      </c>
      <c r="J59" s="18" t="s">
        <v>914</v>
      </c>
      <c r="K59" s="91"/>
      <c r="L59" s="105">
        <f t="shared" si="7"/>
        <v>0.77413194444444455</v>
      </c>
      <c r="M59" s="105">
        <f t="shared" si="8"/>
        <v>0.78101851851851867</v>
      </c>
      <c r="N59" s="38" t="s">
        <v>255</v>
      </c>
      <c r="O59" s="38" t="s">
        <v>256</v>
      </c>
      <c r="P59" s="38" t="s">
        <v>256</v>
      </c>
      <c r="Q59" s="38" t="s">
        <v>256</v>
      </c>
      <c r="R59" s="38"/>
      <c r="T59" s="4"/>
      <c r="U59" s="4"/>
    </row>
    <row r="60" spans="1:22" x14ac:dyDescent="0.2">
      <c r="A60" s="48" t="s">
        <v>279</v>
      </c>
      <c r="B60" s="49">
        <f t="shared" si="11"/>
        <v>2.7546296296296457E-2</v>
      </c>
      <c r="C60" s="49">
        <f t="shared" si="10"/>
        <v>0.78101851851851867</v>
      </c>
      <c r="D60" s="96">
        <v>6.8865740740740736E-3</v>
      </c>
      <c r="E60" s="49">
        <f t="shared" si="9"/>
        <v>0.78790509259259278</v>
      </c>
      <c r="F60" s="18" t="s">
        <v>921</v>
      </c>
      <c r="G60" s="18" t="s">
        <v>266</v>
      </c>
      <c r="H60" s="18"/>
      <c r="I60" s="38" t="s">
        <v>254</v>
      </c>
      <c r="J60" s="18" t="s">
        <v>914</v>
      </c>
      <c r="K60" s="91"/>
      <c r="L60" s="105">
        <f t="shared" si="7"/>
        <v>0.78101851851851867</v>
      </c>
      <c r="M60" s="105">
        <f t="shared" si="8"/>
        <v>0.78790509259259278</v>
      </c>
      <c r="N60" s="38" t="s">
        <v>255</v>
      </c>
      <c r="O60" s="38" t="s">
        <v>256</v>
      </c>
      <c r="P60" s="38" t="s">
        <v>256</v>
      </c>
      <c r="Q60" s="38" t="s">
        <v>256</v>
      </c>
      <c r="R60" s="38"/>
      <c r="T60" s="4"/>
      <c r="U60" s="4"/>
    </row>
    <row r="61" spans="1:22" x14ac:dyDescent="0.2">
      <c r="A61" s="48" t="s">
        <v>279</v>
      </c>
      <c r="B61" s="49">
        <f t="shared" si="11"/>
        <v>3.4432870370370572E-2</v>
      </c>
      <c r="C61" s="49">
        <f t="shared" si="10"/>
        <v>0.78790509259259278</v>
      </c>
      <c r="D61" s="96">
        <v>6.8865740740740736E-3</v>
      </c>
      <c r="E61" s="49">
        <f t="shared" si="9"/>
        <v>0.7947916666666669</v>
      </c>
      <c r="F61" s="18" t="s">
        <v>922</v>
      </c>
      <c r="G61" s="18" t="s">
        <v>266</v>
      </c>
      <c r="H61" s="18"/>
      <c r="I61" s="38" t="s">
        <v>254</v>
      </c>
      <c r="J61" s="18" t="s">
        <v>914</v>
      </c>
      <c r="K61" s="91"/>
      <c r="L61" s="105">
        <f t="shared" si="7"/>
        <v>0.78790509259259278</v>
      </c>
      <c r="M61" s="105">
        <f t="shared" si="8"/>
        <v>0.7947916666666669</v>
      </c>
      <c r="N61" s="38" t="s">
        <v>255</v>
      </c>
      <c r="O61" s="38" t="s">
        <v>256</v>
      </c>
      <c r="P61" s="38" t="s">
        <v>256</v>
      </c>
      <c r="Q61" s="38" t="s">
        <v>256</v>
      </c>
      <c r="R61" s="38"/>
      <c r="T61" s="4"/>
      <c r="U61" s="4"/>
    </row>
    <row r="62" spans="1:22" x14ac:dyDescent="0.2">
      <c r="A62" s="48" t="s">
        <v>279</v>
      </c>
      <c r="B62" s="49">
        <f t="shared" si="11"/>
        <v>4.1319444444444686E-2</v>
      </c>
      <c r="C62" s="49">
        <f t="shared" si="10"/>
        <v>0.7947916666666669</v>
      </c>
      <c r="D62" s="96">
        <v>6.9444444444444441E-3</v>
      </c>
      <c r="E62" s="49">
        <f t="shared" si="9"/>
        <v>0.80173611111111132</v>
      </c>
      <c r="F62" s="18" t="s">
        <v>923</v>
      </c>
      <c r="G62" s="18" t="s">
        <v>266</v>
      </c>
      <c r="H62" s="18"/>
      <c r="I62" s="38" t="s">
        <v>254</v>
      </c>
      <c r="J62" s="18" t="s">
        <v>914</v>
      </c>
      <c r="K62" s="90"/>
      <c r="L62" s="105">
        <f t="shared" si="7"/>
        <v>0.7947916666666669</v>
      </c>
      <c r="M62" s="105">
        <f t="shared" si="8"/>
        <v>0.80173611111111132</v>
      </c>
      <c r="N62" s="38" t="s">
        <v>255</v>
      </c>
      <c r="O62" s="38" t="s">
        <v>256</v>
      </c>
      <c r="P62" s="38"/>
      <c r="Q62" s="38" t="s">
        <v>256</v>
      </c>
      <c r="R62" s="38"/>
      <c r="T62" s="4"/>
      <c r="U62" s="4"/>
    </row>
    <row r="63" spans="1:22" x14ac:dyDescent="0.2">
      <c r="A63" s="48" t="s">
        <v>279</v>
      </c>
      <c r="B63" s="49">
        <f t="shared" si="11"/>
        <v>4.8263888888889106E-2</v>
      </c>
      <c r="C63" s="49">
        <f t="shared" si="10"/>
        <v>0.80173611111111132</v>
      </c>
      <c r="D63" s="96">
        <v>6.9444444444444441E-3</v>
      </c>
      <c r="E63" s="49">
        <f t="shared" si="9"/>
        <v>0.80868055555555574</v>
      </c>
      <c r="F63" s="18" t="s">
        <v>905</v>
      </c>
      <c r="G63" s="18" t="s">
        <v>266</v>
      </c>
      <c r="H63" s="18"/>
      <c r="I63" s="38" t="s">
        <v>254</v>
      </c>
      <c r="J63" s="18" t="s">
        <v>914</v>
      </c>
      <c r="K63" s="90"/>
      <c r="L63" s="105">
        <f t="shared" si="7"/>
        <v>0.80173611111111132</v>
      </c>
      <c r="M63" s="105">
        <f t="shared" si="8"/>
        <v>0.80868055555555574</v>
      </c>
      <c r="N63" s="38" t="s">
        <v>255</v>
      </c>
      <c r="O63" s="38" t="s">
        <v>256</v>
      </c>
      <c r="P63" s="38"/>
      <c r="Q63" s="38" t="s">
        <v>256</v>
      </c>
      <c r="R63" s="38"/>
      <c r="T63" s="4"/>
      <c r="U63" s="4"/>
    </row>
    <row r="64" spans="1:22" x14ac:dyDescent="0.2">
      <c r="A64" s="48" t="s">
        <v>279</v>
      </c>
      <c r="B64" s="49">
        <f t="shared" si="11"/>
        <v>5.5208333333333526E-2</v>
      </c>
      <c r="C64" s="49">
        <f t="shared" si="10"/>
        <v>0.80868055555555574</v>
      </c>
      <c r="D64" s="96">
        <v>2.0833333333333333E-3</v>
      </c>
      <c r="E64" s="49">
        <f t="shared" si="9"/>
        <v>0.81076388888888906</v>
      </c>
      <c r="F64" s="18" t="s">
        <v>894</v>
      </c>
      <c r="G64" s="18" t="s">
        <v>266</v>
      </c>
      <c r="H64" s="18"/>
      <c r="I64" s="38" t="s">
        <v>254</v>
      </c>
      <c r="J64" s="18" t="s">
        <v>914</v>
      </c>
      <c r="K64" s="90"/>
      <c r="L64" s="105">
        <f t="shared" si="7"/>
        <v>0.80868055555555574</v>
      </c>
      <c r="M64" s="105">
        <f t="shared" si="8"/>
        <v>0.81076388888888906</v>
      </c>
      <c r="N64" s="38" t="s">
        <v>255</v>
      </c>
      <c r="O64" s="38" t="s">
        <v>256</v>
      </c>
      <c r="P64" s="38"/>
      <c r="Q64" s="38" t="s">
        <v>256</v>
      </c>
      <c r="R64" s="38"/>
      <c r="T64" s="4"/>
      <c r="U64" s="4"/>
    </row>
    <row r="65" spans="1:22" x14ac:dyDescent="0.2">
      <c r="A65" s="48" t="s">
        <v>279</v>
      </c>
      <c r="B65" s="49">
        <f t="shared" si="11"/>
        <v>5.7291666666666852E-2</v>
      </c>
      <c r="C65" s="49">
        <f t="shared" si="10"/>
        <v>0.81076388888888906</v>
      </c>
      <c r="D65" s="96">
        <v>1.3888888888888889E-3</v>
      </c>
      <c r="E65" s="49">
        <f t="shared" si="9"/>
        <v>0.81215277777777795</v>
      </c>
      <c r="F65" s="69" t="s">
        <v>59</v>
      </c>
      <c r="G65" s="18" t="s">
        <v>266</v>
      </c>
      <c r="H65" s="18"/>
      <c r="I65" s="38" t="s">
        <v>254</v>
      </c>
      <c r="J65" s="18" t="s">
        <v>914</v>
      </c>
      <c r="K65" s="90"/>
      <c r="L65" s="105">
        <f t="shared" si="7"/>
        <v>0.81076388888888906</v>
      </c>
      <c r="M65" s="105">
        <f t="shared" si="8"/>
        <v>0.81215277777777795</v>
      </c>
      <c r="N65" s="38" t="s">
        <v>255</v>
      </c>
      <c r="O65" s="38" t="s">
        <v>256</v>
      </c>
      <c r="P65" s="38"/>
      <c r="Q65" s="38" t="s">
        <v>256</v>
      </c>
      <c r="R65" s="38"/>
      <c r="T65" s="4"/>
      <c r="U65" s="4"/>
    </row>
    <row r="66" spans="1:22" x14ac:dyDescent="0.2">
      <c r="A66" s="48" t="s">
        <v>279</v>
      </c>
      <c r="B66" s="49">
        <f t="shared" si="11"/>
        <v>5.8680555555555736E-2</v>
      </c>
      <c r="C66" s="49">
        <f t="shared" si="10"/>
        <v>0.81215277777777795</v>
      </c>
      <c r="D66" s="96">
        <f>SUM(D67:D71)</f>
        <v>4.0798611111111112E-2</v>
      </c>
      <c r="E66" s="49">
        <f t="shared" si="9"/>
        <v>0.85295138888888911</v>
      </c>
      <c r="F66" s="18" t="s">
        <v>924</v>
      </c>
      <c r="G66" s="18" t="s">
        <v>266</v>
      </c>
      <c r="H66" s="18"/>
      <c r="I66" s="38" t="s">
        <v>254</v>
      </c>
      <c r="J66" s="18" t="s">
        <v>914</v>
      </c>
      <c r="K66" s="91" t="s">
        <v>925</v>
      </c>
      <c r="L66" s="105">
        <f t="shared" si="7"/>
        <v>0.81215277777777795</v>
      </c>
      <c r="M66" s="105">
        <f t="shared" si="8"/>
        <v>0.85295138888888911</v>
      </c>
      <c r="N66" s="38"/>
      <c r="O66" s="38" t="s">
        <v>256</v>
      </c>
      <c r="P66" s="38" t="s">
        <v>256</v>
      </c>
      <c r="Q66" s="38" t="s">
        <v>256</v>
      </c>
      <c r="R66" s="38"/>
      <c r="T66" s="4"/>
      <c r="U66" s="4"/>
    </row>
    <row r="67" spans="1:22" x14ac:dyDescent="0.2">
      <c r="A67" s="48" t="s">
        <v>279</v>
      </c>
      <c r="B67" s="49">
        <f t="shared" si="11"/>
        <v>5.8680555555555736E-2</v>
      </c>
      <c r="C67" s="49">
        <f>C66</f>
        <v>0.81215277777777795</v>
      </c>
      <c r="D67" s="96">
        <v>8.1597222222222227E-3</v>
      </c>
      <c r="E67" s="49">
        <f t="shared" si="9"/>
        <v>0.82031250000000022</v>
      </c>
      <c r="F67" s="18" t="s">
        <v>926</v>
      </c>
      <c r="G67" s="18" t="s">
        <v>266</v>
      </c>
      <c r="H67" s="18"/>
      <c r="I67" s="38" t="s">
        <v>254</v>
      </c>
      <c r="J67" s="18" t="s">
        <v>914</v>
      </c>
      <c r="K67" s="91"/>
      <c r="L67" s="105">
        <f t="shared" si="7"/>
        <v>0.81215277777777795</v>
      </c>
      <c r="M67" s="105">
        <f t="shared" si="8"/>
        <v>0.82031250000000022</v>
      </c>
      <c r="N67" s="38" t="s">
        <v>255</v>
      </c>
      <c r="O67" s="38" t="s">
        <v>256</v>
      </c>
      <c r="P67" s="38" t="s">
        <v>256</v>
      </c>
      <c r="Q67" s="38" t="s">
        <v>256</v>
      </c>
      <c r="R67" s="38"/>
      <c r="T67" s="4"/>
      <c r="U67" s="4"/>
    </row>
    <row r="68" spans="1:22" x14ac:dyDescent="0.2">
      <c r="A68" s="48" t="s">
        <v>279</v>
      </c>
      <c r="B68" s="49">
        <f t="shared" si="11"/>
        <v>6.6840277777778012E-2</v>
      </c>
      <c r="C68" s="49">
        <f t="shared" si="10"/>
        <v>0.82031250000000022</v>
      </c>
      <c r="D68" s="96">
        <v>8.1597222222222227E-3</v>
      </c>
      <c r="E68" s="49">
        <f t="shared" si="9"/>
        <v>0.8284722222222225</v>
      </c>
      <c r="F68" s="18" t="s">
        <v>927</v>
      </c>
      <c r="G68" s="18" t="s">
        <v>266</v>
      </c>
      <c r="H68" s="18"/>
      <c r="I68" s="38" t="s">
        <v>254</v>
      </c>
      <c r="J68" s="18" t="s">
        <v>914</v>
      </c>
      <c r="K68" s="91"/>
      <c r="L68" s="105">
        <f t="shared" si="7"/>
        <v>0.82031250000000022</v>
      </c>
      <c r="M68" s="105">
        <f t="shared" si="8"/>
        <v>0.8284722222222225</v>
      </c>
      <c r="N68" s="38" t="s">
        <v>255</v>
      </c>
      <c r="O68" s="38" t="s">
        <v>256</v>
      </c>
      <c r="P68" s="38" t="s">
        <v>256</v>
      </c>
      <c r="Q68" s="38" t="s">
        <v>256</v>
      </c>
      <c r="R68" s="38"/>
      <c r="T68" s="4"/>
      <c r="U68" s="4"/>
    </row>
    <row r="69" spans="1:22" x14ac:dyDescent="0.2">
      <c r="A69" s="48" t="s">
        <v>279</v>
      </c>
      <c r="B69" s="49">
        <f t="shared" si="11"/>
        <v>7.5000000000000289E-2</v>
      </c>
      <c r="C69" s="49">
        <f t="shared" si="10"/>
        <v>0.8284722222222225</v>
      </c>
      <c r="D69" s="96">
        <v>8.1597222222222227E-3</v>
      </c>
      <c r="E69" s="49">
        <f t="shared" si="9"/>
        <v>0.83663194444444478</v>
      </c>
      <c r="F69" s="18" t="s">
        <v>928</v>
      </c>
      <c r="G69" s="18" t="s">
        <v>266</v>
      </c>
      <c r="H69" s="18"/>
      <c r="I69" s="38" t="s">
        <v>254</v>
      </c>
      <c r="J69" s="18" t="s">
        <v>914</v>
      </c>
      <c r="K69" s="91"/>
      <c r="L69" s="105">
        <f t="shared" si="7"/>
        <v>0.8284722222222225</v>
      </c>
      <c r="M69" s="105">
        <f t="shared" si="8"/>
        <v>0.83663194444444478</v>
      </c>
      <c r="N69" s="38" t="s">
        <v>255</v>
      </c>
      <c r="O69" s="38" t="s">
        <v>256</v>
      </c>
      <c r="P69" s="38" t="s">
        <v>256</v>
      </c>
      <c r="Q69" s="38" t="s">
        <v>256</v>
      </c>
      <c r="R69" s="38"/>
      <c r="T69" s="4"/>
      <c r="U69" s="4"/>
    </row>
    <row r="70" spans="1:22" x14ac:dyDescent="0.2">
      <c r="A70" s="48" t="s">
        <v>279</v>
      </c>
      <c r="B70" s="49">
        <f t="shared" si="11"/>
        <v>8.3159722222222565E-2</v>
      </c>
      <c r="C70" s="49">
        <f t="shared" si="10"/>
        <v>0.83663194444444478</v>
      </c>
      <c r="D70" s="96">
        <v>8.1597222222222227E-3</v>
      </c>
      <c r="E70" s="49">
        <f t="shared" si="9"/>
        <v>0.84479166666666705</v>
      </c>
      <c r="F70" s="18" t="s">
        <v>929</v>
      </c>
      <c r="G70" s="18" t="s">
        <v>266</v>
      </c>
      <c r="H70" s="18"/>
      <c r="I70" s="38" t="s">
        <v>254</v>
      </c>
      <c r="J70" s="18" t="s">
        <v>914</v>
      </c>
      <c r="K70" s="91"/>
      <c r="L70" s="105">
        <f t="shared" si="7"/>
        <v>0.83663194444444478</v>
      </c>
      <c r="M70" s="105">
        <f t="shared" si="8"/>
        <v>0.84479166666666705</v>
      </c>
      <c r="N70" s="38" t="s">
        <v>255</v>
      </c>
      <c r="O70" s="38" t="s">
        <v>256</v>
      </c>
      <c r="P70" s="38" t="s">
        <v>256</v>
      </c>
      <c r="Q70" s="38" t="s">
        <v>256</v>
      </c>
      <c r="R70" s="38"/>
      <c r="T70" s="4"/>
      <c r="U70" s="4"/>
    </row>
    <row r="71" spans="1:22" x14ac:dyDescent="0.2">
      <c r="A71" s="48" t="s">
        <v>279</v>
      </c>
      <c r="B71" s="49">
        <f t="shared" si="11"/>
        <v>9.1319444444444842E-2</v>
      </c>
      <c r="C71" s="49">
        <f t="shared" si="10"/>
        <v>0.84479166666666705</v>
      </c>
      <c r="D71" s="96">
        <v>8.1597222222222227E-3</v>
      </c>
      <c r="E71" s="49">
        <f t="shared" si="9"/>
        <v>0.85295138888888933</v>
      </c>
      <c r="F71" s="18" t="s">
        <v>930</v>
      </c>
      <c r="G71" s="18" t="s">
        <v>266</v>
      </c>
      <c r="H71" s="18"/>
      <c r="I71" s="38" t="s">
        <v>254</v>
      </c>
      <c r="J71" s="18" t="s">
        <v>914</v>
      </c>
      <c r="K71" s="91"/>
      <c r="L71" s="105">
        <f t="shared" si="7"/>
        <v>0.84479166666666705</v>
      </c>
      <c r="M71" s="105">
        <f t="shared" si="8"/>
        <v>0.85295138888888933</v>
      </c>
      <c r="N71" s="38" t="s">
        <v>255</v>
      </c>
      <c r="O71" s="38" t="s">
        <v>256</v>
      </c>
      <c r="P71" s="38" t="s">
        <v>256</v>
      </c>
      <c r="Q71" s="38" t="s">
        <v>256</v>
      </c>
      <c r="R71" s="38"/>
      <c r="T71" s="4"/>
      <c r="U71" s="4"/>
    </row>
    <row r="72" spans="1:22" x14ac:dyDescent="0.2">
      <c r="A72" s="48" t="s">
        <v>279</v>
      </c>
      <c r="B72" s="49">
        <f t="shared" si="11"/>
        <v>9.9479166666667118E-2</v>
      </c>
      <c r="C72" s="49">
        <f t="shared" si="10"/>
        <v>0.85295138888888933</v>
      </c>
      <c r="D72" s="96">
        <v>3.472222222222222E-3</v>
      </c>
      <c r="E72" s="49">
        <f t="shared" si="9"/>
        <v>0.85642361111111154</v>
      </c>
      <c r="F72" s="18" t="s">
        <v>931</v>
      </c>
      <c r="G72" s="18" t="s">
        <v>266</v>
      </c>
      <c r="H72" s="18"/>
      <c r="I72" s="38" t="s">
        <v>254</v>
      </c>
      <c r="J72" s="18" t="s">
        <v>914</v>
      </c>
      <c r="K72" s="90"/>
      <c r="L72" s="105">
        <f t="shared" si="7"/>
        <v>0.85295138888888933</v>
      </c>
      <c r="M72" s="105">
        <f t="shared" si="8"/>
        <v>0.85642361111111154</v>
      </c>
      <c r="N72" s="38" t="s">
        <v>255</v>
      </c>
      <c r="O72" s="38" t="s">
        <v>256</v>
      </c>
      <c r="P72" s="38" t="s">
        <v>256</v>
      </c>
      <c r="Q72" s="38" t="s">
        <v>256</v>
      </c>
      <c r="R72" s="38"/>
      <c r="T72" s="4"/>
      <c r="U72" s="4"/>
    </row>
    <row r="73" spans="1:22" x14ac:dyDescent="0.2">
      <c r="A73" s="48" t="s">
        <v>279</v>
      </c>
      <c r="B73" s="49">
        <f t="shared" si="11"/>
        <v>0.10295138888888933</v>
      </c>
      <c r="C73" s="49">
        <f t="shared" si="10"/>
        <v>0.85642361111111154</v>
      </c>
      <c r="D73" s="96">
        <v>5.3240740740740748E-3</v>
      </c>
      <c r="E73" s="49">
        <f>C73+D73</f>
        <v>0.86174768518518563</v>
      </c>
      <c r="F73" s="18" t="s">
        <v>932</v>
      </c>
      <c r="G73" s="18" t="s">
        <v>266</v>
      </c>
      <c r="H73" s="18"/>
      <c r="I73" s="38" t="s">
        <v>254</v>
      </c>
      <c r="J73" s="18" t="s">
        <v>914</v>
      </c>
      <c r="K73" s="91" t="s">
        <v>933</v>
      </c>
      <c r="L73" s="105">
        <f t="shared" si="7"/>
        <v>0.85642361111111154</v>
      </c>
      <c r="M73" s="105">
        <f t="shared" si="8"/>
        <v>0.86174768518518563</v>
      </c>
      <c r="N73" s="38"/>
      <c r="O73" s="38" t="s">
        <v>256</v>
      </c>
      <c r="P73" s="38" t="s">
        <v>256</v>
      </c>
      <c r="Q73" s="38" t="s">
        <v>256</v>
      </c>
      <c r="R73" s="38"/>
      <c r="T73" s="4"/>
      <c r="U73" s="4"/>
    </row>
    <row r="74" spans="1:22" x14ac:dyDescent="0.2">
      <c r="A74" s="48" t="s">
        <v>279</v>
      </c>
      <c r="B74" s="49">
        <f t="shared" si="11"/>
        <v>0.10827546296296342</v>
      </c>
      <c r="C74" s="49">
        <f t="shared" si="10"/>
        <v>0.86174768518518563</v>
      </c>
      <c r="D74" s="96">
        <v>5.3240740740740748E-3</v>
      </c>
      <c r="E74" s="49">
        <f t="shared" si="9"/>
        <v>0.86707175925925972</v>
      </c>
      <c r="F74" s="18" t="s">
        <v>934</v>
      </c>
      <c r="G74" s="18" t="s">
        <v>266</v>
      </c>
      <c r="H74" s="18"/>
      <c r="I74" s="38" t="s">
        <v>254</v>
      </c>
      <c r="J74" s="18" t="s">
        <v>914</v>
      </c>
      <c r="K74" s="91" t="s">
        <v>935</v>
      </c>
      <c r="L74" s="105">
        <f t="shared" si="7"/>
        <v>0.86174768518518563</v>
      </c>
      <c r="M74" s="105">
        <f t="shared" si="8"/>
        <v>0.86707175925925972</v>
      </c>
      <c r="N74" s="38"/>
      <c r="O74" s="38" t="s">
        <v>256</v>
      </c>
      <c r="P74" s="38" t="s">
        <v>256</v>
      </c>
      <c r="Q74" s="38" t="s">
        <v>256</v>
      </c>
      <c r="R74" s="38"/>
      <c r="T74" s="4"/>
      <c r="U74" s="4"/>
    </row>
    <row r="75" spans="1:22" s="1" customFormat="1" x14ac:dyDescent="0.2">
      <c r="A75" s="80" t="s">
        <v>279</v>
      </c>
      <c r="B75" s="78">
        <f t="shared" si="11"/>
        <v>0.12152777777777779</v>
      </c>
      <c r="C75" s="78">
        <v>0.875</v>
      </c>
      <c r="D75" s="81"/>
      <c r="E75" s="81"/>
      <c r="F75" s="33" t="s">
        <v>62</v>
      </c>
      <c r="G75" s="81"/>
      <c r="H75" s="81"/>
      <c r="I75" s="80" t="s">
        <v>254</v>
      </c>
      <c r="J75" s="81"/>
      <c r="K75" s="81"/>
      <c r="L75" s="109">
        <f t="shared" si="7"/>
        <v>0.875</v>
      </c>
      <c r="M75" s="109"/>
      <c r="N75" s="64"/>
      <c r="O75" s="80" t="s">
        <v>256</v>
      </c>
      <c r="P75" s="80" t="s">
        <v>256</v>
      </c>
      <c r="Q75" s="80" t="s">
        <v>256</v>
      </c>
      <c r="R75" s="80" t="s">
        <v>256</v>
      </c>
      <c r="T75" s="73"/>
      <c r="U75" s="73"/>
      <c r="V75" s="74"/>
    </row>
    <row r="76" spans="1:22" x14ac:dyDescent="0.2">
      <c r="A76" s="48" t="s">
        <v>279</v>
      </c>
      <c r="B76" s="49">
        <f>C76-$C$54</f>
        <v>0.12847222222222232</v>
      </c>
      <c r="C76" s="49">
        <v>0.88194444444444453</v>
      </c>
      <c r="D76" s="35"/>
      <c r="E76" s="35"/>
      <c r="F76" s="47" t="s">
        <v>65</v>
      </c>
      <c r="G76" s="18"/>
      <c r="H76" s="18"/>
      <c r="I76" s="38" t="s">
        <v>254</v>
      </c>
      <c r="J76" s="37"/>
      <c r="K76" s="37"/>
      <c r="L76" s="37"/>
      <c r="M76" s="37"/>
      <c r="N76" s="38"/>
      <c r="O76" s="38"/>
      <c r="P76" s="38"/>
      <c r="Q76" s="38"/>
      <c r="R76" s="38" t="s">
        <v>256</v>
      </c>
      <c r="T76" s="4"/>
      <c r="U76" s="4"/>
    </row>
    <row r="77" spans="1:22" x14ac:dyDescent="0.2">
      <c r="A77" s="48" t="s">
        <v>279</v>
      </c>
      <c r="B77" s="49">
        <f t="shared" si="11"/>
        <v>0.12847222222222232</v>
      </c>
      <c r="C77" s="49">
        <v>0.88194444444444453</v>
      </c>
      <c r="D77" s="35"/>
      <c r="E77" s="35"/>
      <c r="F77" s="18" t="s">
        <v>362</v>
      </c>
      <c r="G77" s="18"/>
      <c r="H77" s="18"/>
      <c r="I77" s="38" t="s">
        <v>254</v>
      </c>
      <c r="J77" s="37"/>
      <c r="K77" s="37"/>
      <c r="L77" s="37"/>
      <c r="M77" s="37"/>
      <c r="N77" s="38"/>
      <c r="O77" s="38"/>
      <c r="P77" s="38"/>
      <c r="Q77" s="38"/>
      <c r="R77" s="38"/>
      <c r="T77" s="4"/>
      <c r="U77" s="4"/>
    </row>
    <row r="78" spans="1:22" x14ac:dyDescent="0.2">
      <c r="A78" s="48" t="s">
        <v>279</v>
      </c>
      <c r="B78" s="49">
        <f t="shared" si="11"/>
        <v>0.13194444444444442</v>
      </c>
      <c r="C78" s="49">
        <v>0.88541666666666663</v>
      </c>
      <c r="D78" s="35"/>
      <c r="E78" s="35"/>
      <c r="F78" s="47" t="s">
        <v>412</v>
      </c>
      <c r="G78" s="18"/>
      <c r="H78" s="18"/>
      <c r="I78" s="38" t="s">
        <v>254</v>
      </c>
      <c r="J78" s="37"/>
      <c r="K78" s="37"/>
      <c r="L78" s="37"/>
      <c r="M78" s="37"/>
      <c r="N78" s="38"/>
      <c r="O78" s="38"/>
      <c r="P78" s="38"/>
      <c r="Q78" s="38"/>
      <c r="R78" s="38"/>
      <c r="T78" s="4"/>
      <c r="U78" s="4"/>
    </row>
    <row r="79" spans="1:22" x14ac:dyDescent="0.2">
      <c r="A79" s="48" t="s">
        <v>279</v>
      </c>
      <c r="B79" s="49">
        <f t="shared" si="11"/>
        <v>0.14236111111111116</v>
      </c>
      <c r="C79" s="49">
        <v>0.89583333333333337</v>
      </c>
      <c r="D79" s="35"/>
      <c r="E79" s="35"/>
      <c r="F79" s="20" t="s">
        <v>67</v>
      </c>
      <c r="G79" s="18"/>
      <c r="H79" s="18"/>
      <c r="I79" s="38" t="s">
        <v>254</v>
      </c>
      <c r="J79" s="37"/>
      <c r="K79" s="37"/>
      <c r="L79" s="37"/>
      <c r="M79" s="37"/>
      <c r="N79" s="38"/>
      <c r="O79" s="38"/>
      <c r="P79" s="38"/>
      <c r="Q79" s="38"/>
      <c r="R79" s="38" t="s">
        <v>256</v>
      </c>
      <c r="T79" s="4"/>
      <c r="U79" s="4"/>
    </row>
    <row r="80" spans="1:22" x14ac:dyDescent="0.2">
      <c r="A80" s="48" t="s">
        <v>279</v>
      </c>
      <c r="B80" s="49">
        <f>C80-$C$54</f>
        <v>0.14236111111111116</v>
      </c>
      <c r="C80" s="49">
        <v>0.89583333333333337</v>
      </c>
      <c r="D80" s="35"/>
      <c r="E80" s="35"/>
      <c r="F80" s="47" t="s">
        <v>361</v>
      </c>
      <c r="G80" s="18"/>
      <c r="H80" s="18"/>
      <c r="I80" s="38" t="s">
        <v>254</v>
      </c>
      <c r="J80" s="37"/>
      <c r="K80" s="37"/>
      <c r="L80" s="37"/>
      <c r="M80" s="37"/>
      <c r="N80" s="38"/>
      <c r="O80" s="38"/>
      <c r="P80" s="38"/>
      <c r="Q80" s="38"/>
      <c r="R80" s="38"/>
      <c r="T80" s="4"/>
      <c r="U80" s="4"/>
    </row>
    <row r="81" spans="1:21" x14ac:dyDescent="0.2">
      <c r="A81" s="48" t="s">
        <v>279</v>
      </c>
      <c r="B81" s="49">
        <f>C81-$C$54</f>
        <v>0.16319444444444442</v>
      </c>
      <c r="C81" s="95">
        <v>0.91666666666666663</v>
      </c>
      <c r="D81" s="35"/>
      <c r="E81" s="35"/>
      <c r="F81" s="47" t="s">
        <v>413</v>
      </c>
      <c r="G81" s="18"/>
      <c r="H81" s="18"/>
      <c r="I81" s="38" t="s">
        <v>254</v>
      </c>
      <c r="J81" s="37"/>
      <c r="K81" s="37"/>
      <c r="L81" s="37"/>
      <c r="M81" s="37"/>
      <c r="N81" s="38"/>
      <c r="O81" s="38"/>
      <c r="P81" s="38"/>
      <c r="Q81" s="38"/>
      <c r="R81" s="38"/>
      <c r="T81" s="4"/>
      <c r="U81" s="4"/>
    </row>
    <row r="82" spans="1:21" x14ac:dyDescent="0.2">
      <c r="A82" s="48" t="s">
        <v>279</v>
      </c>
      <c r="B82" s="49">
        <f t="shared" si="11"/>
        <v>0.16319444444444442</v>
      </c>
      <c r="C82" s="97">
        <v>0.91666666666666663</v>
      </c>
      <c r="D82" s="35"/>
      <c r="E82" s="35"/>
      <c r="F82" s="18" t="s">
        <v>414</v>
      </c>
      <c r="G82" s="18"/>
      <c r="H82" s="18"/>
      <c r="I82" s="38" t="s">
        <v>254</v>
      </c>
      <c r="J82" s="37"/>
      <c r="K82" s="37"/>
      <c r="L82" s="37"/>
      <c r="M82" s="37"/>
      <c r="N82" s="38"/>
      <c r="O82" s="38"/>
      <c r="P82" s="38"/>
      <c r="Q82" s="38"/>
      <c r="R82" s="38" t="s">
        <v>256</v>
      </c>
      <c r="T82" s="4"/>
      <c r="U82" s="4"/>
    </row>
    <row r="83" spans="1:21" x14ac:dyDescent="0.2">
      <c r="A83" s="48" t="s">
        <v>279</v>
      </c>
      <c r="B83" s="49">
        <f t="shared" si="11"/>
        <v>0.18402777777777779</v>
      </c>
      <c r="C83" s="97">
        <v>0.9375</v>
      </c>
      <c r="D83" s="35"/>
      <c r="E83" s="35"/>
      <c r="F83" s="18" t="s">
        <v>415</v>
      </c>
      <c r="G83" s="18"/>
      <c r="H83" s="18"/>
      <c r="I83" s="38" t="s">
        <v>254</v>
      </c>
      <c r="J83" s="37"/>
      <c r="K83" s="37"/>
      <c r="L83" s="37"/>
      <c r="M83" s="37"/>
      <c r="N83" s="38"/>
      <c r="O83" s="38"/>
      <c r="P83" s="38"/>
      <c r="Q83" s="38"/>
      <c r="R83" s="38" t="s">
        <v>256</v>
      </c>
      <c r="T83" s="4"/>
      <c r="U83" s="4"/>
    </row>
    <row r="84" spans="1:21" x14ac:dyDescent="0.2">
      <c r="T84" s="4"/>
      <c r="U84" s="4"/>
    </row>
    <row r="85" spans="1:21" x14ac:dyDescent="0.2">
      <c r="T85" s="4"/>
      <c r="U85" s="4"/>
    </row>
    <row r="86" spans="1:21" x14ac:dyDescent="0.2">
      <c r="T86" s="4"/>
      <c r="U86" s="4"/>
    </row>
    <row r="87" spans="1:21" x14ac:dyDescent="0.2">
      <c r="T87" s="4"/>
      <c r="U87" s="4"/>
    </row>
    <row r="88" spans="1:21" x14ac:dyDescent="0.2">
      <c r="T88" s="4"/>
      <c r="U88" s="4"/>
    </row>
    <row r="89" spans="1:21" x14ac:dyDescent="0.2">
      <c r="T89" s="4"/>
      <c r="U89" s="4"/>
    </row>
    <row r="90" spans="1:21" x14ac:dyDescent="0.2">
      <c r="T90" s="4"/>
      <c r="U90" s="4"/>
    </row>
    <row r="91" spans="1:21" x14ac:dyDescent="0.2">
      <c r="T91" s="4"/>
      <c r="U91" s="4"/>
    </row>
    <row r="92" spans="1:21" x14ac:dyDescent="0.2">
      <c r="T92" s="4"/>
      <c r="U92" s="4"/>
    </row>
    <row r="93" spans="1:21" x14ac:dyDescent="0.2">
      <c r="T93" s="4"/>
      <c r="U93" s="4"/>
    </row>
    <row r="94" spans="1:21" x14ac:dyDescent="0.2">
      <c r="T94" s="4"/>
      <c r="U94" s="4"/>
    </row>
    <row r="95" spans="1:21" x14ac:dyDescent="0.2">
      <c r="T95" s="4"/>
      <c r="U95" s="4"/>
    </row>
    <row r="96" spans="1:21" x14ac:dyDescent="0.2">
      <c r="T96" s="4"/>
      <c r="U96" s="4"/>
    </row>
    <row r="97" spans="20:21" x14ac:dyDescent="0.2">
      <c r="T97" s="4"/>
      <c r="U97" s="4"/>
    </row>
    <row r="98" spans="20:21" x14ac:dyDescent="0.2">
      <c r="T98" s="4"/>
      <c r="U98" s="4"/>
    </row>
    <row r="99" spans="20:21" x14ac:dyDescent="0.2">
      <c r="T99" s="4"/>
      <c r="U99" s="4"/>
    </row>
    <row r="100" spans="20:21" x14ac:dyDescent="0.2">
      <c r="T100" s="4"/>
      <c r="U100" s="4"/>
    </row>
    <row r="101" spans="20:21" x14ac:dyDescent="0.2">
      <c r="T101" s="4"/>
      <c r="U101" s="4"/>
    </row>
    <row r="102" spans="20:21" x14ac:dyDescent="0.2">
      <c r="T102" s="4"/>
      <c r="U102" s="4"/>
    </row>
    <row r="103" spans="20:21" x14ac:dyDescent="0.2">
      <c r="T103" s="4"/>
      <c r="U103" s="4"/>
    </row>
    <row r="104" spans="20:21" x14ac:dyDescent="0.2">
      <c r="T104" s="4"/>
      <c r="U104" s="4"/>
    </row>
    <row r="105" spans="20:21" x14ac:dyDescent="0.2">
      <c r="T105" s="4"/>
      <c r="U105" s="4"/>
    </row>
    <row r="106" spans="20:21" x14ac:dyDescent="0.2">
      <c r="T106" s="4"/>
      <c r="U106" s="4"/>
    </row>
    <row r="107" spans="20:21" x14ac:dyDescent="0.2">
      <c r="T107" s="4"/>
      <c r="U107" s="4"/>
    </row>
    <row r="108" spans="20:21" x14ac:dyDescent="0.2">
      <c r="T108" s="4"/>
      <c r="U108" s="4"/>
    </row>
    <row r="109" spans="20:21" x14ac:dyDescent="0.2">
      <c r="T109" s="4"/>
      <c r="U109" s="4"/>
    </row>
    <row r="110" spans="20:21" x14ac:dyDescent="0.2">
      <c r="T110" s="4"/>
      <c r="U110" s="4"/>
    </row>
    <row r="111" spans="20:21" x14ac:dyDescent="0.2">
      <c r="T111" s="4"/>
      <c r="U111" s="4"/>
    </row>
    <row r="112" spans="20:21" x14ac:dyDescent="0.2">
      <c r="T112" s="4"/>
      <c r="U112" s="4"/>
    </row>
    <row r="113" spans="20:21" x14ac:dyDescent="0.2">
      <c r="T113" s="4"/>
      <c r="U113" s="4"/>
    </row>
    <row r="114" spans="20:21" x14ac:dyDescent="0.2">
      <c r="T114" s="4"/>
      <c r="U114" s="4"/>
    </row>
  </sheetData>
  <sheetProtection algorithmName="SHA-512" hashValue="2RfzV8TN08EgIGpnHuhIJvS+yQf+SLeJUDKrbZPJQzkhtC+313njDqc2GKySnM7JlA47qgZPe6qsqogdae9zhA==" saltValue="r3gcgNsCz5W+vuGhw/ElEg==" spinCount="100000" sheet="1" objects="1" scenarios="1"/>
  <mergeCells count="9">
    <mergeCell ref="K2:N2"/>
    <mergeCell ref="O2:R2"/>
    <mergeCell ref="B1:R1"/>
    <mergeCell ref="A2:E2"/>
    <mergeCell ref="F2:F3"/>
    <mergeCell ref="G2:G3"/>
    <mergeCell ref="H2:H3"/>
    <mergeCell ref="I2:I3"/>
    <mergeCell ref="J2:J3"/>
  </mergeCells>
  <phoneticPr fontId="2" type="noConversion"/>
  <dataValidations count="1">
    <dataValidation type="list" allowBlank="1" showInputMessage="1" showErrorMessage="1" sqref="T3" xr:uid="{1592B14F-F995-449F-A658-5D6D439905F2}">
      <formula1>"SCM,BRD,CER"</formula1>
    </dataValidation>
  </dataValidations>
  <pageMargins left="0.7" right="0.7" top="0.75" bottom="0.75" header="0.3" footer="0.3"/>
  <pageSetup paperSize="8" scale="66" fitToHeight="0" orientation="landscape" r:id="rId1"/>
  <headerFooter>
    <oddHeader>&amp;C&amp;"Calibri"&amp;10&amp;K000000 Official&amp;1#_x000D_</oddHeader>
    <oddFooter>&amp;C_x000D_&amp;1#&amp;"Calibri"&amp;10&amp;K000000 Official</oddFooter>
  </headerFooter>
  <ignoredErrors>
    <ignoredError sqref="D23 D66 D55" formulaRange="1"/>
    <ignoredError sqref="C35 C6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B63F-52D4-41F7-A432-310F05292D15}">
  <sheetPr>
    <tabColor rgb="FFF71EE5"/>
    <pageSetUpPr fitToPage="1"/>
  </sheetPr>
  <dimension ref="A1:V123"/>
  <sheetViews>
    <sheetView zoomScale="70" zoomScaleNormal="70" workbookViewId="0">
      <selection sqref="A1:XFD1048576"/>
    </sheetView>
  </sheetViews>
  <sheetFormatPr defaultColWidth="9" defaultRowHeight="14.25" x14ac:dyDescent="0.2"/>
  <cols>
    <col min="2" max="2" width="10.625" customWidth="1"/>
    <col min="3" max="3" width="10.375" bestFit="1" customWidth="1"/>
    <col min="4" max="4" width="12.125" customWidth="1"/>
    <col min="5" max="5" width="11" customWidth="1"/>
    <col min="6" max="6" width="63.625" bestFit="1" customWidth="1"/>
    <col min="7" max="7" width="24.125" customWidth="1"/>
    <col min="8" max="8" width="18.125" customWidth="1"/>
    <col min="9" max="9" width="15.875" style="2" bestFit="1" customWidth="1"/>
    <col min="10" max="10" width="9.125" bestFit="1" customWidth="1"/>
    <col min="11" max="11" width="45" bestFit="1" customWidth="1"/>
    <col min="12" max="13" width="11.625" customWidth="1"/>
    <col min="14" max="14" width="11.625" style="2" customWidth="1"/>
    <col min="22" max="22" width="9" style="5"/>
    <col min="23" max="23" width="16.125" bestFit="1" customWidth="1"/>
    <col min="25" max="25" width="15.125" customWidth="1"/>
  </cols>
  <sheetData>
    <row r="1" spans="1:22" x14ac:dyDescent="0.2">
      <c r="A1" s="18"/>
      <c r="B1" s="119" t="s">
        <v>936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</row>
    <row r="2" spans="1:22" x14ac:dyDescent="0.2">
      <c r="A2" s="121" t="s">
        <v>250</v>
      </c>
      <c r="B2" s="121"/>
      <c r="C2" s="121"/>
      <c r="D2" s="121"/>
      <c r="E2" s="121"/>
      <c r="F2" s="119" t="s">
        <v>10</v>
      </c>
      <c r="G2" s="119" t="s">
        <v>11</v>
      </c>
      <c r="H2" s="119" t="s">
        <v>13</v>
      </c>
      <c r="I2" s="120" t="s">
        <v>15</v>
      </c>
      <c r="J2" s="119" t="s">
        <v>17</v>
      </c>
      <c r="K2" s="119" t="s">
        <v>26</v>
      </c>
      <c r="L2" s="119"/>
      <c r="M2" s="119"/>
      <c r="N2" s="119"/>
      <c r="O2" s="119" t="s">
        <v>34</v>
      </c>
      <c r="P2" s="119"/>
      <c r="Q2" s="119"/>
      <c r="R2" s="119"/>
    </row>
    <row r="3" spans="1:22" x14ac:dyDescent="0.2">
      <c r="A3" s="29" t="s">
        <v>0</v>
      </c>
      <c r="B3" s="30" t="s">
        <v>2</v>
      </c>
      <c r="C3" s="30" t="s">
        <v>4</v>
      </c>
      <c r="D3" s="30" t="s">
        <v>6</v>
      </c>
      <c r="E3" s="30" t="s">
        <v>8</v>
      </c>
      <c r="F3" s="119"/>
      <c r="G3" s="119"/>
      <c r="H3" s="119"/>
      <c r="I3" s="120"/>
      <c r="J3" s="119"/>
      <c r="K3" s="7" t="s">
        <v>27</v>
      </c>
      <c r="L3" s="7" t="s">
        <v>4</v>
      </c>
      <c r="M3" s="7" t="s">
        <v>30</v>
      </c>
      <c r="N3" s="28" t="s">
        <v>32</v>
      </c>
      <c r="O3" s="28" t="s">
        <v>35</v>
      </c>
      <c r="P3" s="28" t="s">
        <v>37</v>
      </c>
      <c r="Q3" s="28" t="s">
        <v>39</v>
      </c>
      <c r="R3" s="28" t="s">
        <v>41</v>
      </c>
      <c r="T3" s="3" t="s">
        <v>251</v>
      </c>
    </row>
    <row r="4" spans="1:22" x14ac:dyDescent="0.2">
      <c r="A4" s="48" t="s">
        <v>252</v>
      </c>
      <c r="B4" s="49">
        <f t="shared" ref="B4:B23" si="0">$C$24-C4</f>
        <v>0.21180555555555555</v>
      </c>
      <c r="C4" s="49">
        <v>0.20833333333333334</v>
      </c>
      <c r="D4" s="35"/>
      <c r="E4" s="35"/>
      <c r="F4" s="36" t="s">
        <v>253</v>
      </c>
      <c r="G4" s="18"/>
      <c r="H4" s="18"/>
      <c r="I4" s="38" t="s">
        <v>254</v>
      </c>
      <c r="J4" s="37"/>
      <c r="K4" s="37"/>
      <c r="L4" s="37"/>
      <c r="M4" s="37"/>
      <c r="N4" s="38"/>
      <c r="O4" s="38"/>
      <c r="P4" s="38"/>
      <c r="Q4" s="38"/>
      <c r="R4" s="38" t="s">
        <v>256</v>
      </c>
    </row>
    <row r="5" spans="1:22" x14ac:dyDescent="0.2">
      <c r="A5" s="48" t="s">
        <v>252</v>
      </c>
      <c r="B5" s="49">
        <f t="shared" si="0"/>
        <v>0.19097222222222224</v>
      </c>
      <c r="C5" s="49">
        <v>0.22916666666666666</v>
      </c>
      <c r="D5" s="35"/>
      <c r="E5" s="35"/>
      <c r="F5" s="39" t="s">
        <v>257</v>
      </c>
      <c r="G5" s="18"/>
      <c r="H5" s="18"/>
      <c r="I5" s="38" t="s">
        <v>254</v>
      </c>
      <c r="J5" s="37"/>
      <c r="K5" s="37"/>
      <c r="L5" s="37"/>
      <c r="M5" s="37"/>
      <c r="N5" s="38"/>
      <c r="O5" s="38"/>
      <c r="P5" s="38"/>
      <c r="Q5" s="38"/>
      <c r="R5" s="38"/>
    </row>
    <row r="6" spans="1:22" x14ac:dyDescent="0.2">
      <c r="A6" s="48" t="s">
        <v>252</v>
      </c>
      <c r="B6" s="49">
        <f t="shared" si="0"/>
        <v>0.19097222222222224</v>
      </c>
      <c r="C6" s="49">
        <v>0.22916666666666666</v>
      </c>
      <c r="D6" s="35"/>
      <c r="E6" s="35"/>
      <c r="F6" s="36" t="s">
        <v>258</v>
      </c>
      <c r="G6" s="18"/>
      <c r="H6" s="18"/>
      <c r="I6" s="38" t="s">
        <v>254</v>
      </c>
      <c r="J6" s="37"/>
      <c r="K6" s="37"/>
      <c r="L6" s="37"/>
      <c r="M6" s="37"/>
      <c r="N6" s="38"/>
      <c r="O6" s="38"/>
      <c r="P6" s="38"/>
      <c r="Q6" s="38"/>
      <c r="R6" s="38" t="s">
        <v>256</v>
      </c>
      <c r="T6" s="4"/>
      <c r="U6" s="4"/>
      <c r="V6" s="6"/>
    </row>
    <row r="7" spans="1:22" x14ac:dyDescent="0.2">
      <c r="A7" s="48" t="s">
        <v>252</v>
      </c>
      <c r="B7" s="49">
        <f t="shared" si="0"/>
        <v>0.16319444444444442</v>
      </c>
      <c r="C7" s="115">
        <v>0.25694444444444448</v>
      </c>
      <c r="D7" s="35"/>
      <c r="E7" s="35"/>
      <c r="F7" s="18" t="s">
        <v>891</v>
      </c>
      <c r="G7" s="18"/>
      <c r="H7" s="18"/>
      <c r="I7" s="38" t="s">
        <v>254</v>
      </c>
      <c r="J7" s="37"/>
      <c r="K7" s="37"/>
      <c r="L7" s="37"/>
      <c r="M7" s="37"/>
      <c r="N7" s="38"/>
      <c r="O7" s="38"/>
      <c r="P7" s="38"/>
      <c r="Q7" s="38"/>
      <c r="R7" s="38" t="s">
        <v>256</v>
      </c>
      <c r="T7" s="4"/>
      <c r="U7" s="4"/>
      <c r="V7" s="6"/>
    </row>
    <row r="8" spans="1:22" x14ac:dyDescent="0.2">
      <c r="A8" s="48" t="s">
        <v>252</v>
      </c>
      <c r="B8" s="49">
        <f t="shared" si="0"/>
        <v>0.14930555555555558</v>
      </c>
      <c r="C8" s="49">
        <v>0.27083333333333331</v>
      </c>
      <c r="D8" s="49">
        <f>E8-C8</f>
        <v>6.25E-2</v>
      </c>
      <c r="E8" s="49">
        <v>0.33333333333333331</v>
      </c>
      <c r="F8" s="84" t="s">
        <v>937</v>
      </c>
      <c r="G8" s="18"/>
      <c r="H8" s="18"/>
      <c r="I8" s="38" t="s">
        <v>254</v>
      </c>
      <c r="J8" s="37"/>
      <c r="K8" s="37"/>
      <c r="L8" s="37"/>
      <c r="M8" s="37"/>
      <c r="N8" s="38"/>
      <c r="O8" s="38"/>
      <c r="P8" s="38"/>
      <c r="Q8" s="38"/>
      <c r="R8" s="38" t="s">
        <v>256</v>
      </c>
      <c r="T8" s="4"/>
      <c r="U8" s="4"/>
    </row>
    <row r="9" spans="1:22" x14ac:dyDescent="0.2">
      <c r="A9" s="48" t="s">
        <v>252</v>
      </c>
      <c r="B9" s="49">
        <f t="shared" si="0"/>
        <v>0.14930555555555558</v>
      </c>
      <c r="C9" s="96">
        <v>0.27083333333333331</v>
      </c>
      <c r="D9" s="35"/>
      <c r="E9" s="35"/>
      <c r="F9" s="18" t="s">
        <v>262</v>
      </c>
      <c r="G9" s="18"/>
      <c r="H9" s="18"/>
      <c r="I9" s="38" t="s">
        <v>254</v>
      </c>
      <c r="J9" s="37"/>
      <c r="K9" s="37"/>
      <c r="L9" s="37"/>
      <c r="M9" s="37"/>
      <c r="N9" s="38"/>
      <c r="O9" s="38"/>
      <c r="P9" s="38"/>
      <c r="Q9" s="38"/>
      <c r="R9" s="38"/>
      <c r="T9" s="4"/>
      <c r="U9" s="4"/>
    </row>
    <row r="10" spans="1:22" x14ac:dyDescent="0.2">
      <c r="A10" s="48" t="s">
        <v>252</v>
      </c>
      <c r="B10" s="49">
        <f t="shared" si="0"/>
        <v>0.12847222222222221</v>
      </c>
      <c r="C10" s="49">
        <v>0.29166666666666669</v>
      </c>
      <c r="D10" s="49">
        <f>E10-C10</f>
        <v>6.25E-2</v>
      </c>
      <c r="E10" s="96">
        <v>0.35416666666666669</v>
      </c>
      <c r="F10" s="18" t="s">
        <v>938</v>
      </c>
      <c r="G10" s="18" t="s">
        <v>266</v>
      </c>
      <c r="H10" s="18"/>
      <c r="I10" s="38" t="s">
        <v>254</v>
      </c>
      <c r="J10" s="37"/>
      <c r="K10" s="37"/>
      <c r="L10" s="37"/>
      <c r="M10" s="37"/>
      <c r="N10" s="38"/>
      <c r="O10" s="38"/>
      <c r="P10" s="38"/>
      <c r="Q10" s="38"/>
      <c r="R10" s="38" t="s">
        <v>256</v>
      </c>
      <c r="T10" s="4"/>
      <c r="U10" s="4"/>
    </row>
    <row r="11" spans="1:22" x14ac:dyDescent="0.2">
      <c r="A11" s="48" t="s">
        <v>252</v>
      </c>
      <c r="B11" s="49">
        <f t="shared" si="0"/>
        <v>0.12847222222222221</v>
      </c>
      <c r="C11" s="95">
        <v>0.29166666666666669</v>
      </c>
      <c r="D11" s="35"/>
      <c r="E11" s="35"/>
      <c r="F11" s="18" t="s">
        <v>267</v>
      </c>
      <c r="G11" s="18"/>
      <c r="H11" s="18"/>
      <c r="I11" s="38" t="s">
        <v>254</v>
      </c>
      <c r="J11" s="37"/>
      <c r="K11" s="37"/>
      <c r="L11" s="37"/>
      <c r="M11" s="37"/>
      <c r="N11" s="38"/>
      <c r="O11" s="38"/>
      <c r="P11" s="38"/>
      <c r="Q11" s="38"/>
      <c r="R11" s="38"/>
      <c r="T11" s="4"/>
      <c r="U11" s="4"/>
    </row>
    <row r="12" spans="1:22" x14ac:dyDescent="0.2">
      <c r="A12" s="48" t="s">
        <v>252</v>
      </c>
      <c r="B12" s="49">
        <f t="shared" si="0"/>
        <v>8.680555555555558E-2</v>
      </c>
      <c r="C12" s="96">
        <v>0.33333333333333331</v>
      </c>
      <c r="D12" s="35"/>
      <c r="E12" s="35"/>
      <c r="F12" s="20" t="s">
        <v>53</v>
      </c>
      <c r="G12" s="18"/>
      <c r="H12" s="18"/>
      <c r="I12" s="38" t="s">
        <v>254</v>
      </c>
      <c r="J12" s="37"/>
      <c r="K12" s="37"/>
      <c r="L12" s="37"/>
      <c r="M12" s="37"/>
      <c r="N12" s="38"/>
      <c r="O12" s="38"/>
      <c r="P12" s="38"/>
      <c r="Q12" s="38"/>
      <c r="R12" s="38" t="s">
        <v>256</v>
      </c>
      <c r="T12" s="4"/>
      <c r="U12" s="4"/>
    </row>
    <row r="13" spans="1:22" x14ac:dyDescent="0.2">
      <c r="A13" s="48" t="s">
        <v>252</v>
      </c>
      <c r="B13" s="49">
        <f t="shared" si="0"/>
        <v>8.680555555555558E-2</v>
      </c>
      <c r="C13" s="96">
        <v>0.33333333333333331</v>
      </c>
      <c r="D13" s="96">
        <f>E13-C13</f>
        <v>0.20833333333333331</v>
      </c>
      <c r="E13" s="96">
        <v>0.54166666666666663</v>
      </c>
      <c r="F13" s="18" t="s">
        <v>892</v>
      </c>
      <c r="G13" s="18"/>
      <c r="H13" s="18"/>
      <c r="I13" s="38" t="s">
        <v>254</v>
      </c>
      <c r="J13" s="37"/>
      <c r="K13" s="37"/>
      <c r="L13" s="37"/>
      <c r="M13" s="37"/>
      <c r="N13" s="38"/>
      <c r="O13" s="38" t="s">
        <v>256</v>
      </c>
      <c r="P13" s="38" t="s">
        <v>256</v>
      </c>
      <c r="Q13" s="38" t="s">
        <v>256</v>
      </c>
      <c r="R13" s="38" t="s">
        <v>256</v>
      </c>
      <c r="T13" s="4"/>
      <c r="U13" s="4"/>
    </row>
    <row r="14" spans="1:22" x14ac:dyDescent="0.2">
      <c r="A14" s="48" t="s">
        <v>252</v>
      </c>
      <c r="B14" s="49">
        <f t="shared" si="0"/>
        <v>6.597222222222221E-2</v>
      </c>
      <c r="C14" s="96">
        <v>0.35416666666666669</v>
      </c>
      <c r="D14" s="96">
        <f>E14-C14</f>
        <v>4.8611111111111049E-2</v>
      </c>
      <c r="E14" s="96">
        <v>0.40277777777777773</v>
      </c>
      <c r="F14" s="18" t="s">
        <v>893</v>
      </c>
      <c r="G14" s="18" t="s">
        <v>266</v>
      </c>
      <c r="H14" s="18"/>
      <c r="I14" s="38" t="s">
        <v>254</v>
      </c>
      <c r="J14" s="37"/>
      <c r="K14" s="37"/>
      <c r="L14" s="37"/>
      <c r="M14" s="37"/>
      <c r="N14" s="38"/>
      <c r="O14" s="38"/>
      <c r="P14" s="38"/>
      <c r="Q14" s="38"/>
      <c r="R14" s="38" t="s">
        <v>256</v>
      </c>
      <c r="T14" s="4"/>
      <c r="U14" s="4"/>
    </row>
    <row r="15" spans="1:22" x14ac:dyDescent="0.2">
      <c r="A15" s="48" t="s">
        <v>252</v>
      </c>
      <c r="B15" s="49">
        <f t="shared" si="0"/>
        <v>6.597222222222221E-2</v>
      </c>
      <c r="C15" s="49">
        <v>0.35416666666666669</v>
      </c>
      <c r="D15" s="35"/>
      <c r="E15" s="35"/>
      <c r="F15" s="18" t="s">
        <v>270</v>
      </c>
      <c r="G15" s="18"/>
      <c r="H15" s="18"/>
      <c r="I15" s="38" t="s">
        <v>254</v>
      </c>
      <c r="J15" s="37"/>
      <c r="K15" s="37"/>
      <c r="L15" s="37"/>
      <c r="M15" s="37"/>
      <c r="N15" s="38"/>
      <c r="O15" s="38"/>
      <c r="P15" s="38"/>
      <c r="Q15" s="38"/>
      <c r="R15" s="38" t="s">
        <v>256</v>
      </c>
      <c r="T15" s="4"/>
      <c r="U15" s="4"/>
      <c r="V15" s="6"/>
    </row>
    <row r="16" spans="1:22" x14ac:dyDescent="0.2">
      <c r="A16" s="48" t="s">
        <v>252</v>
      </c>
      <c r="B16" s="49">
        <f t="shared" si="0"/>
        <v>6.597222222222221E-2</v>
      </c>
      <c r="C16" s="49">
        <v>0.35416666666666669</v>
      </c>
      <c r="D16" s="35"/>
      <c r="E16" s="35"/>
      <c r="F16" s="18" t="s">
        <v>366</v>
      </c>
      <c r="G16" s="18"/>
      <c r="H16" s="18"/>
      <c r="I16" s="38" t="s">
        <v>254</v>
      </c>
      <c r="J16" s="37"/>
      <c r="K16" s="37"/>
      <c r="L16" s="37"/>
      <c r="M16" s="37"/>
      <c r="N16" s="38"/>
      <c r="O16" s="38"/>
      <c r="P16" s="38"/>
      <c r="Q16" s="38"/>
      <c r="R16" s="38" t="s">
        <v>256</v>
      </c>
      <c r="T16" s="4"/>
      <c r="U16" s="4"/>
    </row>
    <row r="17" spans="1:22" x14ac:dyDescent="0.2">
      <c r="A17" s="48" t="s">
        <v>252</v>
      </c>
      <c r="B17" s="49">
        <f t="shared" si="0"/>
        <v>6.597222222222221E-2</v>
      </c>
      <c r="C17" s="49">
        <v>0.35416666666666669</v>
      </c>
      <c r="D17" s="35"/>
      <c r="E17" s="35"/>
      <c r="F17" s="18" t="s">
        <v>55</v>
      </c>
      <c r="G17" s="18"/>
      <c r="H17" s="18"/>
      <c r="I17" s="38" t="s">
        <v>254</v>
      </c>
      <c r="J17" s="37"/>
      <c r="K17" s="37"/>
      <c r="L17" s="37"/>
      <c r="M17" s="37"/>
      <c r="N17" s="38"/>
      <c r="O17" s="38" t="s">
        <v>256</v>
      </c>
      <c r="P17" s="38"/>
      <c r="Q17" s="38" t="s">
        <v>256</v>
      </c>
      <c r="R17" s="38" t="s">
        <v>256</v>
      </c>
      <c r="T17" s="4"/>
      <c r="U17" s="4"/>
    </row>
    <row r="18" spans="1:22" x14ac:dyDescent="0.2">
      <c r="A18" s="48" t="s">
        <v>252</v>
      </c>
      <c r="B18" s="49">
        <f t="shared" si="0"/>
        <v>4.5138888888888895E-2</v>
      </c>
      <c r="C18" s="49">
        <v>0.375</v>
      </c>
      <c r="D18" s="35"/>
      <c r="E18" s="35"/>
      <c r="F18" s="18" t="s">
        <v>52</v>
      </c>
      <c r="G18" s="18"/>
      <c r="H18" s="18"/>
      <c r="I18" s="38" t="s">
        <v>254</v>
      </c>
      <c r="J18" s="37"/>
      <c r="K18" s="37"/>
      <c r="L18" s="37"/>
      <c r="M18" s="37"/>
      <c r="N18" s="38"/>
      <c r="O18" s="38"/>
      <c r="P18" s="38"/>
      <c r="Q18" s="38"/>
      <c r="R18" s="38"/>
      <c r="T18" s="4"/>
      <c r="U18" s="4"/>
    </row>
    <row r="19" spans="1:22" x14ac:dyDescent="0.2">
      <c r="A19" s="48" t="s">
        <v>252</v>
      </c>
      <c r="B19" s="49">
        <f t="shared" si="0"/>
        <v>1.736111111111116E-2</v>
      </c>
      <c r="C19" s="49">
        <v>0.40277777777777773</v>
      </c>
      <c r="D19" s="35"/>
      <c r="E19" s="35"/>
      <c r="F19" s="18" t="s">
        <v>273</v>
      </c>
      <c r="G19" s="18" t="s">
        <v>266</v>
      </c>
      <c r="H19" s="18"/>
      <c r="I19" s="38" t="s">
        <v>254</v>
      </c>
      <c r="J19" s="37"/>
      <c r="K19" s="37"/>
      <c r="L19" s="37"/>
      <c r="M19" s="37"/>
      <c r="N19" s="38"/>
      <c r="O19" s="38" t="s">
        <v>256</v>
      </c>
      <c r="P19" s="38" t="s">
        <v>256</v>
      </c>
      <c r="Q19" s="38" t="s">
        <v>256</v>
      </c>
      <c r="R19" s="38" t="s">
        <v>256</v>
      </c>
      <c r="T19" s="4"/>
      <c r="U19" s="4"/>
    </row>
    <row r="20" spans="1:22" x14ac:dyDescent="0.2">
      <c r="A20" s="48" t="s">
        <v>252</v>
      </c>
      <c r="B20" s="49">
        <f t="shared" si="0"/>
        <v>1.3888888888888895E-2</v>
      </c>
      <c r="C20" s="49">
        <v>0.40625</v>
      </c>
      <c r="D20" s="35"/>
      <c r="E20" s="35"/>
      <c r="F20" s="18" t="s">
        <v>56</v>
      </c>
      <c r="G20" s="18"/>
      <c r="H20" s="18"/>
      <c r="I20" s="38" t="s">
        <v>254</v>
      </c>
      <c r="J20" s="37"/>
      <c r="K20" s="37"/>
      <c r="L20" s="37"/>
      <c r="M20" s="37"/>
      <c r="N20" s="38"/>
      <c r="O20" s="38" t="s">
        <v>256</v>
      </c>
      <c r="P20" s="38" t="s">
        <v>256</v>
      </c>
      <c r="Q20" s="38" t="s">
        <v>256</v>
      </c>
      <c r="R20" s="38" t="s">
        <v>256</v>
      </c>
      <c r="T20" s="4"/>
      <c r="U20" s="4"/>
    </row>
    <row r="21" spans="1:22" s="1" customFormat="1" x14ac:dyDescent="0.2">
      <c r="A21" s="75" t="s">
        <v>252</v>
      </c>
      <c r="B21" s="77">
        <f t="shared" si="0"/>
        <v>3.4722222222222099E-3</v>
      </c>
      <c r="C21" s="77">
        <v>0.41666666666666669</v>
      </c>
      <c r="D21" s="76"/>
      <c r="E21" s="76"/>
      <c r="F21" s="31" t="s">
        <v>57</v>
      </c>
      <c r="G21" s="76"/>
      <c r="H21" s="76"/>
      <c r="I21" s="75" t="s">
        <v>254</v>
      </c>
      <c r="J21" s="76"/>
      <c r="K21" s="76"/>
      <c r="L21" s="108">
        <f t="shared" ref="L21:L44" si="1">C21</f>
        <v>0.41666666666666669</v>
      </c>
      <c r="M21" s="108"/>
      <c r="N21" s="75"/>
      <c r="O21" s="75" t="s">
        <v>256</v>
      </c>
      <c r="P21" s="75" t="s">
        <v>256</v>
      </c>
      <c r="Q21" s="75" t="s">
        <v>256</v>
      </c>
      <c r="R21" s="75" t="s">
        <v>256</v>
      </c>
      <c r="T21" s="73"/>
      <c r="U21" s="73"/>
      <c r="V21" s="74"/>
    </row>
    <row r="22" spans="1:22" x14ac:dyDescent="0.2">
      <c r="A22" s="48" t="s">
        <v>252</v>
      </c>
      <c r="B22" s="49">
        <f t="shared" si="0"/>
        <v>3.4722222222222099E-3</v>
      </c>
      <c r="C22" s="49">
        <v>0.41666666666666669</v>
      </c>
      <c r="D22" s="49">
        <v>2.0833333333333333E-3</v>
      </c>
      <c r="E22" s="49">
        <f>C22+D22</f>
        <v>0.41875000000000001</v>
      </c>
      <c r="F22" s="20" t="s">
        <v>894</v>
      </c>
      <c r="G22" s="18" t="s">
        <v>266</v>
      </c>
      <c r="H22" s="18"/>
      <c r="I22" s="38" t="s">
        <v>254</v>
      </c>
      <c r="J22" s="18" t="s">
        <v>939</v>
      </c>
      <c r="K22" s="37"/>
      <c r="L22" s="105">
        <f t="shared" si="1"/>
        <v>0.41666666666666669</v>
      </c>
      <c r="M22" s="105">
        <f t="shared" ref="M22:M43" si="2">E22</f>
        <v>0.41875000000000001</v>
      </c>
      <c r="N22" s="38"/>
      <c r="O22" s="38" t="s">
        <v>256</v>
      </c>
      <c r="P22" s="38" t="s">
        <v>256</v>
      </c>
      <c r="Q22" s="38" t="s">
        <v>256</v>
      </c>
      <c r="R22" s="38"/>
      <c r="T22" s="4"/>
      <c r="U22" s="4"/>
    </row>
    <row r="23" spans="1:22" x14ac:dyDescent="0.2">
      <c r="A23" s="48" t="s">
        <v>252</v>
      </c>
      <c r="B23" s="49">
        <f t="shared" si="0"/>
        <v>1.388888888888884E-3</v>
      </c>
      <c r="C23" s="49">
        <f>E22</f>
        <v>0.41875000000000001</v>
      </c>
      <c r="D23" s="49">
        <v>1.3888888888888889E-3</v>
      </c>
      <c r="E23" s="49">
        <f>C23+D23</f>
        <v>0.4201388888888889</v>
      </c>
      <c r="F23" s="18" t="s">
        <v>59</v>
      </c>
      <c r="G23" s="18" t="s">
        <v>266</v>
      </c>
      <c r="H23" s="18"/>
      <c r="I23" s="38" t="s">
        <v>254</v>
      </c>
      <c r="J23" s="18" t="s">
        <v>939</v>
      </c>
      <c r="K23" s="37"/>
      <c r="L23" s="105">
        <f t="shared" si="1"/>
        <v>0.41875000000000001</v>
      </c>
      <c r="M23" s="105">
        <f t="shared" si="2"/>
        <v>0.4201388888888889</v>
      </c>
      <c r="N23" s="38"/>
      <c r="O23" s="38" t="s">
        <v>256</v>
      </c>
      <c r="P23" s="38" t="s">
        <v>256</v>
      </c>
      <c r="Q23" s="38" t="s">
        <v>256</v>
      </c>
      <c r="R23" s="38"/>
      <c r="T23" s="4"/>
      <c r="U23" s="4"/>
    </row>
    <row r="24" spans="1:22" s="1" customFormat="1" x14ac:dyDescent="0.2">
      <c r="A24" s="70"/>
      <c r="B24" s="72">
        <v>0</v>
      </c>
      <c r="C24" s="72">
        <f>E23</f>
        <v>0.4201388888888889</v>
      </c>
      <c r="D24" s="71"/>
      <c r="E24" s="71"/>
      <c r="F24" s="32" t="s">
        <v>60</v>
      </c>
      <c r="G24" s="71"/>
      <c r="H24" s="71"/>
      <c r="I24" s="70" t="s">
        <v>254</v>
      </c>
      <c r="J24" s="71" t="s">
        <v>939</v>
      </c>
      <c r="K24" s="71"/>
      <c r="L24" s="114">
        <f t="shared" si="1"/>
        <v>0.4201388888888889</v>
      </c>
      <c r="M24" s="114"/>
      <c r="N24" s="70"/>
      <c r="O24" s="70" t="s">
        <v>256</v>
      </c>
      <c r="P24" s="70" t="s">
        <v>256</v>
      </c>
      <c r="Q24" s="70" t="s">
        <v>256</v>
      </c>
      <c r="R24" s="70" t="s">
        <v>256</v>
      </c>
      <c r="T24" s="73"/>
      <c r="U24" s="73"/>
      <c r="V24" s="74"/>
    </row>
    <row r="25" spans="1:22" x14ac:dyDescent="0.2">
      <c r="A25" s="48" t="s">
        <v>279</v>
      </c>
      <c r="B25" s="49">
        <f>C25-$C$24</f>
        <v>0</v>
      </c>
      <c r="C25" s="96">
        <f>C24</f>
        <v>0.4201388888888889</v>
      </c>
      <c r="D25" s="96">
        <f>SUM(D26:D30)</f>
        <v>3.3854166666666671E-2</v>
      </c>
      <c r="E25" s="96">
        <f>C25+D25</f>
        <v>0.45399305555555558</v>
      </c>
      <c r="F25" s="18" t="s">
        <v>940</v>
      </c>
      <c r="G25" s="18" t="s">
        <v>266</v>
      </c>
      <c r="H25" s="18"/>
      <c r="I25" s="38" t="s">
        <v>254</v>
      </c>
      <c r="J25" s="18" t="s">
        <v>939</v>
      </c>
      <c r="K25" s="91" t="s">
        <v>941</v>
      </c>
      <c r="L25" s="105">
        <f t="shared" si="1"/>
        <v>0.4201388888888889</v>
      </c>
      <c r="M25" s="105">
        <f t="shared" si="2"/>
        <v>0.45399305555555558</v>
      </c>
      <c r="N25" s="38"/>
      <c r="O25" s="38" t="s">
        <v>256</v>
      </c>
      <c r="P25" s="38" t="s">
        <v>256</v>
      </c>
      <c r="Q25" s="38" t="s">
        <v>256</v>
      </c>
      <c r="R25" s="38"/>
      <c r="T25" s="4"/>
      <c r="U25" s="4"/>
    </row>
    <row r="26" spans="1:22" x14ac:dyDescent="0.2">
      <c r="A26" s="48" t="s">
        <v>279</v>
      </c>
      <c r="B26" s="49">
        <f>C26-$C$24</f>
        <v>0</v>
      </c>
      <c r="C26" s="96">
        <f>C25</f>
        <v>0.4201388888888889</v>
      </c>
      <c r="D26" s="96">
        <v>6.7708333333333336E-3</v>
      </c>
      <c r="E26" s="96">
        <f t="shared" ref="E26:E43" si="3">C26+D26</f>
        <v>0.42690972222222223</v>
      </c>
      <c r="F26" s="18" t="s">
        <v>942</v>
      </c>
      <c r="G26" s="18" t="s">
        <v>266</v>
      </c>
      <c r="H26" s="18"/>
      <c r="I26" s="38" t="s">
        <v>254</v>
      </c>
      <c r="J26" s="18" t="s">
        <v>939</v>
      </c>
      <c r="K26" s="91"/>
      <c r="L26" s="105">
        <f t="shared" si="1"/>
        <v>0.4201388888888889</v>
      </c>
      <c r="M26" s="105">
        <f t="shared" si="2"/>
        <v>0.42690972222222223</v>
      </c>
      <c r="N26" s="38" t="s">
        <v>255</v>
      </c>
      <c r="O26" s="38" t="s">
        <v>256</v>
      </c>
      <c r="P26" s="38" t="s">
        <v>256</v>
      </c>
      <c r="Q26" s="38" t="s">
        <v>256</v>
      </c>
      <c r="R26" s="38"/>
      <c r="T26" s="4"/>
      <c r="U26" s="4"/>
    </row>
    <row r="27" spans="1:22" x14ac:dyDescent="0.2">
      <c r="A27" s="48" t="s">
        <v>279</v>
      </c>
      <c r="B27" s="49">
        <f>C27-$C$24</f>
        <v>6.770833333333337E-3</v>
      </c>
      <c r="C27" s="96">
        <f t="shared" ref="C27:C43" si="4">E26</f>
        <v>0.42690972222222223</v>
      </c>
      <c r="D27" s="96">
        <v>6.7708333333333336E-3</v>
      </c>
      <c r="E27" s="96">
        <f t="shared" si="3"/>
        <v>0.43368055555555557</v>
      </c>
      <c r="F27" s="18" t="s">
        <v>943</v>
      </c>
      <c r="G27" s="18" t="s">
        <v>266</v>
      </c>
      <c r="H27" s="18"/>
      <c r="I27" s="38" t="s">
        <v>254</v>
      </c>
      <c r="J27" s="18" t="s">
        <v>939</v>
      </c>
      <c r="K27" s="91"/>
      <c r="L27" s="105">
        <f t="shared" si="1"/>
        <v>0.42690972222222223</v>
      </c>
      <c r="M27" s="105">
        <f t="shared" si="2"/>
        <v>0.43368055555555557</v>
      </c>
      <c r="N27" s="38" t="s">
        <v>255</v>
      </c>
      <c r="O27" s="38" t="s">
        <v>256</v>
      </c>
      <c r="P27" s="38" t="s">
        <v>256</v>
      </c>
      <c r="Q27" s="38" t="s">
        <v>256</v>
      </c>
      <c r="R27" s="38"/>
      <c r="T27" s="4"/>
      <c r="U27" s="4"/>
    </row>
    <row r="28" spans="1:22" x14ac:dyDescent="0.2">
      <c r="A28" s="48" t="s">
        <v>279</v>
      </c>
      <c r="B28" s="49">
        <f>C28-$C$24</f>
        <v>1.3541666666666674E-2</v>
      </c>
      <c r="C28" s="96">
        <f t="shared" si="4"/>
        <v>0.43368055555555557</v>
      </c>
      <c r="D28" s="96">
        <v>6.7708333333333336E-3</v>
      </c>
      <c r="E28" s="96">
        <f t="shared" si="3"/>
        <v>0.44045138888888891</v>
      </c>
      <c r="F28" s="18" t="s">
        <v>944</v>
      </c>
      <c r="G28" s="18" t="s">
        <v>266</v>
      </c>
      <c r="H28" s="18"/>
      <c r="I28" s="38" t="s">
        <v>254</v>
      </c>
      <c r="J28" s="18" t="s">
        <v>939</v>
      </c>
      <c r="K28" s="91"/>
      <c r="L28" s="105">
        <f t="shared" si="1"/>
        <v>0.43368055555555557</v>
      </c>
      <c r="M28" s="105">
        <f t="shared" si="2"/>
        <v>0.44045138888888891</v>
      </c>
      <c r="N28" s="38" t="s">
        <v>255</v>
      </c>
      <c r="O28" s="38" t="s">
        <v>256</v>
      </c>
      <c r="P28" s="38" t="s">
        <v>256</v>
      </c>
      <c r="Q28" s="38" t="s">
        <v>256</v>
      </c>
      <c r="R28" s="38"/>
      <c r="T28" s="4"/>
      <c r="U28" s="4"/>
    </row>
    <row r="29" spans="1:22" x14ac:dyDescent="0.2">
      <c r="A29" s="48" t="s">
        <v>279</v>
      </c>
      <c r="B29" s="49">
        <f t="shared" ref="B29:B44" si="5">C29-$C$24</f>
        <v>2.0312500000000011E-2</v>
      </c>
      <c r="C29" s="96">
        <f t="shared" si="4"/>
        <v>0.44045138888888891</v>
      </c>
      <c r="D29" s="96">
        <v>6.7708333333333336E-3</v>
      </c>
      <c r="E29" s="96">
        <f t="shared" si="3"/>
        <v>0.44722222222222224</v>
      </c>
      <c r="F29" s="18" t="s">
        <v>945</v>
      </c>
      <c r="G29" s="18" t="s">
        <v>266</v>
      </c>
      <c r="H29" s="18"/>
      <c r="I29" s="38" t="s">
        <v>254</v>
      </c>
      <c r="J29" s="18" t="s">
        <v>939</v>
      </c>
      <c r="K29" s="91"/>
      <c r="L29" s="105">
        <f t="shared" si="1"/>
        <v>0.44045138888888891</v>
      </c>
      <c r="M29" s="105">
        <f t="shared" si="2"/>
        <v>0.44722222222222224</v>
      </c>
      <c r="N29" s="38" t="s">
        <v>255</v>
      </c>
      <c r="O29" s="38" t="s">
        <v>256</v>
      </c>
      <c r="P29" s="38" t="s">
        <v>256</v>
      </c>
      <c r="Q29" s="38" t="s">
        <v>256</v>
      </c>
      <c r="R29" s="38"/>
      <c r="T29" s="4"/>
      <c r="U29" s="4"/>
    </row>
    <row r="30" spans="1:22" x14ac:dyDescent="0.2">
      <c r="A30" s="48" t="s">
        <v>279</v>
      </c>
      <c r="B30" s="49">
        <f t="shared" si="5"/>
        <v>2.7083333333333348E-2</v>
      </c>
      <c r="C30" s="96">
        <f t="shared" si="4"/>
        <v>0.44722222222222224</v>
      </c>
      <c r="D30" s="96">
        <v>6.7708333333333336E-3</v>
      </c>
      <c r="E30" s="96">
        <f t="shared" si="3"/>
        <v>0.45399305555555558</v>
      </c>
      <c r="F30" s="18" t="s">
        <v>946</v>
      </c>
      <c r="G30" s="18" t="s">
        <v>266</v>
      </c>
      <c r="H30" s="18"/>
      <c r="I30" s="38" t="s">
        <v>254</v>
      </c>
      <c r="J30" s="18" t="s">
        <v>939</v>
      </c>
      <c r="K30" s="91"/>
      <c r="L30" s="105">
        <f t="shared" si="1"/>
        <v>0.44722222222222224</v>
      </c>
      <c r="M30" s="105">
        <f t="shared" si="2"/>
        <v>0.45399305555555558</v>
      </c>
      <c r="N30" s="38" t="s">
        <v>255</v>
      </c>
      <c r="O30" s="38" t="s">
        <v>256</v>
      </c>
      <c r="P30" s="38" t="s">
        <v>256</v>
      </c>
      <c r="Q30" s="38" t="s">
        <v>256</v>
      </c>
      <c r="R30" s="38"/>
      <c r="T30" s="4"/>
      <c r="U30" s="4"/>
    </row>
    <row r="31" spans="1:22" x14ac:dyDescent="0.2">
      <c r="A31" s="48" t="s">
        <v>279</v>
      </c>
      <c r="B31" s="49">
        <f t="shared" si="5"/>
        <v>3.3854166666666685E-2</v>
      </c>
      <c r="C31" s="96">
        <f t="shared" si="4"/>
        <v>0.45399305555555558</v>
      </c>
      <c r="D31" s="96">
        <v>6.9444444444444441E-3</v>
      </c>
      <c r="E31" s="96">
        <f t="shared" si="3"/>
        <v>0.4609375</v>
      </c>
      <c r="F31" s="18" t="s">
        <v>947</v>
      </c>
      <c r="G31" s="18" t="s">
        <v>266</v>
      </c>
      <c r="H31" s="18"/>
      <c r="I31" s="38" t="s">
        <v>254</v>
      </c>
      <c r="J31" s="18" t="s">
        <v>939</v>
      </c>
      <c r="K31" s="90"/>
      <c r="L31" s="105">
        <f t="shared" si="1"/>
        <v>0.45399305555555558</v>
      </c>
      <c r="M31" s="105">
        <f t="shared" si="2"/>
        <v>0.4609375</v>
      </c>
      <c r="N31" s="38" t="s">
        <v>255</v>
      </c>
      <c r="O31" s="38"/>
      <c r="P31" s="38"/>
      <c r="Q31" s="38"/>
      <c r="R31" s="38"/>
      <c r="T31" s="4"/>
      <c r="U31" s="4"/>
    </row>
    <row r="32" spans="1:22" x14ac:dyDescent="0.2">
      <c r="A32" s="48" t="s">
        <v>279</v>
      </c>
      <c r="B32" s="49">
        <f t="shared" si="5"/>
        <v>4.0798611111111105E-2</v>
      </c>
      <c r="C32" s="96">
        <f t="shared" si="4"/>
        <v>0.4609375</v>
      </c>
      <c r="D32" s="96">
        <v>6.9444444444444441E-3</v>
      </c>
      <c r="E32" s="96">
        <f t="shared" si="3"/>
        <v>0.46788194444444442</v>
      </c>
      <c r="F32" s="18" t="s">
        <v>905</v>
      </c>
      <c r="G32" s="18" t="s">
        <v>266</v>
      </c>
      <c r="H32" s="18"/>
      <c r="I32" s="38" t="s">
        <v>254</v>
      </c>
      <c r="J32" s="18" t="s">
        <v>939</v>
      </c>
      <c r="K32" s="90"/>
      <c r="L32" s="105">
        <f t="shared" si="1"/>
        <v>0.4609375</v>
      </c>
      <c r="M32" s="105">
        <f t="shared" si="2"/>
        <v>0.46788194444444442</v>
      </c>
      <c r="N32" s="38" t="s">
        <v>255</v>
      </c>
      <c r="O32" s="38"/>
      <c r="P32" s="38"/>
      <c r="Q32" s="38"/>
      <c r="R32" s="38"/>
      <c r="T32" s="4"/>
      <c r="U32" s="4"/>
    </row>
    <row r="33" spans="1:22" x14ac:dyDescent="0.2">
      <c r="A33" s="48" t="s">
        <v>279</v>
      </c>
      <c r="B33" s="49">
        <f t="shared" si="5"/>
        <v>4.7743055555555525E-2</v>
      </c>
      <c r="C33" s="96">
        <f t="shared" si="4"/>
        <v>0.46788194444444442</v>
      </c>
      <c r="D33" s="96">
        <v>2.0833333333333333E-3</v>
      </c>
      <c r="E33" s="96">
        <f t="shared" si="3"/>
        <v>0.46996527777777775</v>
      </c>
      <c r="F33" s="18" t="s">
        <v>894</v>
      </c>
      <c r="G33" s="18" t="s">
        <v>266</v>
      </c>
      <c r="H33" s="18"/>
      <c r="I33" s="38" t="s">
        <v>254</v>
      </c>
      <c r="J33" s="18" t="s">
        <v>939</v>
      </c>
      <c r="K33" s="90"/>
      <c r="L33" s="105">
        <f t="shared" si="1"/>
        <v>0.46788194444444442</v>
      </c>
      <c r="M33" s="105">
        <f t="shared" si="2"/>
        <v>0.46996527777777775</v>
      </c>
      <c r="N33" s="38" t="s">
        <v>255</v>
      </c>
      <c r="O33" s="38"/>
      <c r="P33" s="38"/>
      <c r="Q33" s="38"/>
      <c r="R33" s="38"/>
      <c r="T33" s="4"/>
      <c r="U33" s="4"/>
    </row>
    <row r="34" spans="1:22" x14ac:dyDescent="0.2">
      <c r="A34" s="48" t="s">
        <v>279</v>
      </c>
      <c r="B34" s="49">
        <f t="shared" si="5"/>
        <v>4.9826388888888851E-2</v>
      </c>
      <c r="C34" s="96">
        <f t="shared" si="4"/>
        <v>0.46996527777777775</v>
      </c>
      <c r="D34" s="96">
        <v>1.3888888888888889E-3</v>
      </c>
      <c r="E34" s="96">
        <f t="shared" si="3"/>
        <v>0.47135416666666663</v>
      </c>
      <c r="F34" s="69" t="s">
        <v>59</v>
      </c>
      <c r="G34" s="18" t="s">
        <v>266</v>
      </c>
      <c r="H34" s="18"/>
      <c r="I34" s="38" t="s">
        <v>254</v>
      </c>
      <c r="J34" s="18" t="s">
        <v>939</v>
      </c>
      <c r="K34" s="90"/>
      <c r="L34" s="105">
        <f t="shared" si="1"/>
        <v>0.46996527777777775</v>
      </c>
      <c r="M34" s="105">
        <f t="shared" si="2"/>
        <v>0.47135416666666663</v>
      </c>
      <c r="N34" s="38" t="s">
        <v>255</v>
      </c>
      <c r="O34" s="38"/>
      <c r="P34" s="38"/>
      <c r="Q34" s="38"/>
      <c r="R34" s="38"/>
      <c r="T34" s="4"/>
      <c r="U34" s="4"/>
    </row>
    <row r="35" spans="1:22" x14ac:dyDescent="0.2">
      <c r="A35" s="48" t="s">
        <v>279</v>
      </c>
      <c r="B35" s="49">
        <f t="shared" si="5"/>
        <v>5.1215277777777735E-2</v>
      </c>
      <c r="C35" s="96">
        <f t="shared" si="4"/>
        <v>0.47135416666666663</v>
      </c>
      <c r="D35" s="96">
        <f>SUM(D36:D41)</f>
        <v>2.222222222222222E-2</v>
      </c>
      <c r="E35" s="96">
        <f t="shared" si="3"/>
        <v>0.49357638888888883</v>
      </c>
      <c r="F35" s="18" t="s">
        <v>948</v>
      </c>
      <c r="G35" s="18" t="s">
        <v>266</v>
      </c>
      <c r="H35" s="18"/>
      <c r="I35" s="38" t="s">
        <v>254</v>
      </c>
      <c r="J35" s="18" t="s">
        <v>939</v>
      </c>
      <c r="K35" s="91" t="s">
        <v>949</v>
      </c>
      <c r="L35" s="105">
        <f t="shared" si="1"/>
        <v>0.47135416666666663</v>
      </c>
      <c r="M35" s="105">
        <f t="shared" si="2"/>
        <v>0.49357638888888883</v>
      </c>
      <c r="N35" s="38"/>
      <c r="O35" s="38" t="s">
        <v>256</v>
      </c>
      <c r="P35" s="38" t="s">
        <v>256</v>
      </c>
      <c r="Q35" s="38" t="s">
        <v>256</v>
      </c>
      <c r="R35" s="38"/>
      <c r="T35" s="4"/>
      <c r="U35" s="4"/>
    </row>
    <row r="36" spans="1:22" x14ac:dyDescent="0.2">
      <c r="A36" s="48" t="s">
        <v>279</v>
      </c>
      <c r="B36" s="49">
        <f t="shared" si="5"/>
        <v>5.1215277777777735E-2</v>
      </c>
      <c r="C36" s="96">
        <f>C35</f>
        <v>0.47135416666666663</v>
      </c>
      <c r="D36" s="96">
        <v>3.7037037037037034E-3</v>
      </c>
      <c r="E36" s="96">
        <f t="shared" si="3"/>
        <v>0.47505787037037034</v>
      </c>
      <c r="F36" s="18" t="s">
        <v>950</v>
      </c>
      <c r="G36" s="18" t="s">
        <v>266</v>
      </c>
      <c r="H36" s="18"/>
      <c r="I36" s="38" t="s">
        <v>254</v>
      </c>
      <c r="J36" s="18" t="s">
        <v>939</v>
      </c>
      <c r="K36" s="91"/>
      <c r="L36" s="105">
        <f t="shared" si="1"/>
        <v>0.47135416666666663</v>
      </c>
      <c r="M36" s="105">
        <f t="shared" si="2"/>
        <v>0.47505787037037034</v>
      </c>
      <c r="N36" s="38" t="s">
        <v>255</v>
      </c>
      <c r="O36" s="38" t="s">
        <v>256</v>
      </c>
      <c r="P36" s="38" t="s">
        <v>256</v>
      </c>
      <c r="Q36" s="38" t="s">
        <v>256</v>
      </c>
      <c r="R36" s="38"/>
      <c r="T36" s="4"/>
      <c r="U36" s="4"/>
    </row>
    <row r="37" spans="1:22" x14ac:dyDescent="0.2">
      <c r="A37" s="48" t="s">
        <v>279</v>
      </c>
      <c r="B37" s="49">
        <f t="shared" si="5"/>
        <v>5.4918981481481444E-2</v>
      </c>
      <c r="C37" s="96">
        <f>E36</f>
        <v>0.47505787037037034</v>
      </c>
      <c r="D37" s="96">
        <v>3.7037037037037034E-3</v>
      </c>
      <c r="E37" s="96">
        <f t="shared" si="3"/>
        <v>0.47876157407407405</v>
      </c>
      <c r="F37" s="18" t="s">
        <v>951</v>
      </c>
      <c r="G37" s="18" t="s">
        <v>266</v>
      </c>
      <c r="H37" s="18"/>
      <c r="I37" s="38" t="s">
        <v>254</v>
      </c>
      <c r="J37" s="18" t="s">
        <v>939</v>
      </c>
      <c r="K37" s="91"/>
      <c r="L37" s="105">
        <f t="shared" si="1"/>
        <v>0.47505787037037034</v>
      </c>
      <c r="M37" s="105">
        <f t="shared" si="2"/>
        <v>0.47876157407407405</v>
      </c>
      <c r="N37" s="38" t="s">
        <v>255</v>
      </c>
      <c r="O37" s="38" t="s">
        <v>256</v>
      </c>
      <c r="P37" s="38" t="s">
        <v>256</v>
      </c>
      <c r="Q37" s="38" t="s">
        <v>256</v>
      </c>
      <c r="R37" s="38"/>
      <c r="T37" s="4"/>
      <c r="U37" s="4"/>
    </row>
    <row r="38" spans="1:22" x14ac:dyDescent="0.2">
      <c r="A38" s="48" t="s">
        <v>279</v>
      </c>
      <c r="B38" s="49">
        <f t="shared" si="5"/>
        <v>5.8622685185185153E-2</v>
      </c>
      <c r="C38" s="96">
        <f t="shared" si="4"/>
        <v>0.47876157407407405</v>
      </c>
      <c r="D38" s="96">
        <v>3.7037037037037034E-3</v>
      </c>
      <c r="E38" s="96">
        <f t="shared" si="3"/>
        <v>0.48246527777777776</v>
      </c>
      <c r="F38" s="18" t="s">
        <v>952</v>
      </c>
      <c r="G38" s="18" t="s">
        <v>266</v>
      </c>
      <c r="H38" s="18"/>
      <c r="I38" s="38" t="s">
        <v>254</v>
      </c>
      <c r="J38" s="18" t="s">
        <v>939</v>
      </c>
      <c r="K38" s="91"/>
      <c r="L38" s="105">
        <f t="shared" si="1"/>
        <v>0.47876157407407405</v>
      </c>
      <c r="M38" s="105">
        <f t="shared" si="2"/>
        <v>0.48246527777777776</v>
      </c>
      <c r="N38" s="38" t="s">
        <v>255</v>
      </c>
      <c r="O38" s="38" t="s">
        <v>256</v>
      </c>
      <c r="P38" s="38" t="s">
        <v>256</v>
      </c>
      <c r="Q38" s="38" t="s">
        <v>256</v>
      </c>
      <c r="R38" s="38"/>
      <c r="T38" s="4"/>
      <c r="U38" s="4"/>
    </row>
    <row r="39" spans="1:22" x14ac:dyDescent="0.2">
      <c r="A39" s="48" t="s">
        <v>279</v>
      </c>
      <c r="B39" s="49">
        <f t="shared" si="5"/>
        <v>6.2326388888888862E-2</v>
      </c>
      <c r="C39" s="96">
        <f t="shared" si="4"/>
        <v>0.48246527777777776</v>
      </c>
      <c r="D39" s="96">
        <v>3.7037037037037034E-3</v>
      </c>
      <c r="E39" s="96">
        <f t="shared" si="3"/>
        <v>0.48616898148148147</v>
      </c>
      <c r="F39" s="18" t="s">
        <v>953</v>
      </c>
      <c r="G39" s="18" t="s">
        <v>266</v>
      </c>
      <c r="H39" s="18"/>
      <c r="I39" s="38" t="s">
        <v>254</v>
      </c>
      <c r="J39" s="18" t="s">
        <v>939</v>
      </c>
      <c r="K39" s="91"/>
      <c r="L39" s="105">
        <f t="shared" si="1"/>
        <v>0.48246527777777776</v>
      </c>
      <c r="M39" s="105">
        <f t="shared" si="2"/>
        <v>0.48616898148148147</v>
      </c>
      <c r="N39" s="38" t="s">
        <v>255</v>
      </c>
      <c r="O39" s="38" t="s">
        <v>256</v>
      </c>
      <c r="P39" s="38" t="s">
        <v>256</v>
      </c>
      <c r="Q39" s="38" t="s">
        <v>256</v>
      </c>
      <c r="R39" s="38"/>
      <c r="T39" s="4"/>
      <c r="U39" s="4"/>
    </row>
    <row r="40" spans="1:22" x14ac:dyDescent="0.2">
      <c r="A40" s="48" t="s">
        <v>279</v>
      </c>
      <c r="B40" s="49">
        <f t="shared" si="5"/>
        <v>6.6030092592592571E-2</v>
      </c>
      <c r="C40" s="96">
        <f t="shared" si="4"/>
        <v>0.48616898148148147</v>
      </c>
      <c r="D40" s="96">
        <v>3.7037037037037034E-3</v>
      </c>
      <c r="E40" s="96">
        <f t="shared" si="3"/>
        <v>0.48987268518518517</v>
      </c>
      <c r="F40" s="18" t="s">
        <v>954</v>
      </c>
      <c r="G40" s="18" t="s">
        <v>266</v>
      </c>
      <c r="H40" s="18"/>
      <c r="I40" s="38" t="s">
        <v>254</v>
      </c>
      <c r="J40" s="18" t="s">
        <v>939</v>
      </c>
      <c r="K40" s="91"/>
      <c r="L40" s="105">
        <f t="shared" si="1"/>
        <v>0.48616898148148147</v>
      </c>
      <c r="M40" s="105">
        <f t="shared" si="2"/>
        <v>0.48987268518518517</v>
      </c>
      <c r="N40" s="38" t="s">
        <v>255</v>
      </c>
      <c r="O40" s="38" t="s">
        <v>256</v>
      </c>
      <c r="P40" s="38" t="s">
        <v>256</v>
      </c>
      <c r="Q40" s="38" t="s">
        <v>256</v>
      </c>
      <c r="R40" s="38"/>
      <c r="T40" s="4"/>
      <c r="U40" s="4"/>
    </row>
    <row r="41" spans="1:22" x14ac:dyDescent="0.2">
      <c r="A41" s="48" t="s">
        <v>279</v>
      </c>
      <c r="B41" s="49">
        <f t="shared" si="5"/>
        <v>6.973379629629628E-2</v>
      </c>
      <c r="C41" s="96">
        <f t="shared" si="4"/>
        <v>0.48987268518518517</v>
      </c>
      <c r="D41" s="96">
        <v>3.7037037037037034E-3</v>
      </c>
      <c r="E41" s="96">
        <f t="shared" si="3"/>
        <v>0.49357638888888888</v>
      </c>
      <c r="F41" s="18" t="s">
        <v>955</v>
      </c>
      <c r="G41" s="18" t="s">
        <v>266</v>
      </c>
      <c r="H41" s="18"/>
      <c r="I41" s="38" t="s">
        <v>254</v>
      </c>
      <c r="J41" s="18" t="s">
        <v>939</v>
      </c>
      <c r="K41" s="91"/>
      <c r="L41" s="105">
        <f t="shared" si="1"/>
        <v>0.48987268518518517</v>
      </c>
      <c r="M41" s="105">
        <f t="shared" si="2"/>
        <v>0.49357638888888888</v>
      </c>
      <c r="N41" s="38" t="s">
        <v>255</v>
      </c>
      <c r="O41" s="38" t="s">
        <v>256</v>
      </c>
      <c r="P41" s="38" t="s">
        <v>256</v>
      </c>
      <c r="Q41" s="38" t="s">
        <v>256</v>
      </c>
      <c r="R41" s="38"/>
      <c r="T41" s="4"/>
      <c r="U41" s="4"/>
    </row>
    <row r="42" spans="1:22" x14ac:dyDescent="0.2">
      <c r="A42" s="48" t="s">
        <v>279</v>
      </c>
      <c r="B42" s="49">
        <f t="shared" si="5"/>
        <v>7.3437499999999989E-2</v>
      </c>
      <c r="C42" s="96">
        <f t="shared" si="4"/>
        <v>0.49357638888888888</v>
      </c>
      <c r="D42" s="96">
        <v>3.472222222222222E-3</v>
      </c>
      <c r="E42" s="96">
        <f t="shared" si="3"/>
        <v>0.49704861111111109</v>
      </c>
      <c r="F42" s="18" t="s">
        <v>931</v>
      </c>
      <c r="G42" s="18" t="s">
        <v>266</v>
      </c>
      <c r="H42" s="18"/>
      <c r="I42" s="38" t="s">
        <v>254</v>
      </c>
      <c r="J42" s="18" t="s">
        <v>939</v>
      </c>
      <c r="K42" s="90"/>
      <c r="L42" s="105">
        <f t="shared" si="1"/>
        <v>0.49357638888888888</v>
      </c>
      <c r="M42" s="105">
        <f t="shared" si="2"/>
        <v>0.49704861111111109</v>
      </c>
      <c r="N42" s="38" t="s">
        <v>255</v>
      </c>
      <c r="O42" s="38" t="s">
        <v>256</v>
      </c>
      <c r="P42" s="38" t="s">
        <v>256</v>
      </c>
      <c r="Q42" s="38" t="s">
        <v>256</v>
      </c>
      <c r="R42" s="38"/>
      <c r="T42" s="4"/>
      <c r="U42" s="4"/>
    </row>
    <row r="43" spans="1:22" x14ac:dyDescent="0.2">
      <c r="A43" s="48" t="s">
        <v>279</v>
      </c>
      <c r="B43" s="49">
        <f t="shared" si="5"/>
        <v>7.6909722222222199E-2</v>
      </c>
      <c r="C43" s="96">
        <f t="shared" si="4"/>
        <v>0.49704861111111109</v>
      </c>
      <c r="D43" s="96">
        <v>5.6712962962962958E-3</v>
      </c>
      <c r="E43" s="96">
        <f t="shared" si="3"/>
        <v>0.50271990740740735</v>
      </c>
      <c r="F43" s="18" t="s">
        <v>956</v>
      </c>
      <c r="G43" s="18" t="s">
        <v>266</v>
      </c>
      <c r="H43" s="18"/>
      <c r="I43" s="38" t="s">
        <v>254</v>
      </c>
      <c r="J43" s="18" t="s">
        <v>939</v>
      </c>
      <c r="K43" s="91" t="s">
        <v>957</v>
      </c>
      <c r="L43" s="105">
        <f t="shared" si="1"/>
        <v>0.49704861111111109</v>
      </c>
      <c r="M43" s="105">
        <f t="shared" si="2"/>
        <v>0.50271990740740735</v>
      </c>
      <c r="N43" s="38"/>
      <c r="O43" s="38" t="s">
        <v>256</v>
      </c>
      <c r="P43" s="38" t="s">
        <v>256</v>
      </c>
      <c r="Q43" s="38" t="s">
        <v>256</v>
      </c>
      <c r="R43" s="38"/>
      <c r="T43" s="4"/>
      <c r="U43" s="4"/>
    </row>
    <row r="44" spans="1:22" s="1" customFormat="1" x14ac:dyDescent="0.2">
      <c r="A44" s="80" t="s">
        <v>279</v>
      </c>
      <c r="B44" s="78">
        <f t="shared" si="5"/>
        <v>9.0277777777777735E-2</v>
      </c>
      <c r="C44" s="79">
        <v>0.51041666666666663</v>
      </c>
      <c r="D44" s="81"/>
      <c r="E44" s="81"/>
      <c r="F44" s="33" t="s">
        <v>62</v>
      </c>
      <c r="G44" s="81"/>
      <c r="H44" s="81"/>
      <c r="I44" s="80" t="s">
        <v>254</v>
      </c>
      <c r="J44" s="81"/>
      <c r="K44" s="81"/>
      <c r="L44" s="109">
        <f t="shared" si="1"/>
        <v>0.51041666666666663</v>
      </c>
      <c r="M44" s="109"/>
      <c r="N44" s="80"/>
      <c r="O44" s="80" t="s">
        <v>256</v>
      </c>
      <c r="P44" s="80" t="s">
        <v>256</v>
      </c>
      <c r="Q44" s="80" t="s">
        <v>256</v>
      </c>
      <c r="R44" s="80" t="s">
        <v>256</v>
      </c>
      <c r="T44" s="73"/>
      <c r="U44" s="73"/>
      <c r="V44" s="74"/>
    </row>
    <row r="45" spans="1:22" x14ac:dyDescent="0.2">
      <c r="A45" s="48" t="s">
        <v>252</v>
      </c>
      <c r="B45" s="49">
        <f>$C$63-C45</f>
        <v>0.22638888888888886</v>
      </c>
      <c r="C45" s="49">
        <v>0.52708333333333335</v>
      </c>
      <c r="D45" s="35"/>
      <c r="E45" s="35"/>
      <c r="F45" s="47" t="s">
        <v>65</v>
      </c>
      <c r="G45" s="18"/>
      <c r="H45" s="18"/>
      <c r="I45" s="38" t="s">
        <v>254</v>
      </c>
      <c r="J45" s="37"/>
      <c r="K45" s="37"/>
      <c r="L45" s="37"/>
      <c r="M45" s="37"/>
      <c r="N45" s="38"/>
      <c r="O45" s="38"/>
      <c r="P45" s="38"/>
      <c r="Q45" s="38"/>
      <c r="R45" s="38" t="s">
        <v>256</v>
      </c>
      <c r="T45" s="4"/>
      <c r="U45" s="4"/>
    </row>
    <row r="46" spans="1:22" x14ac:dyDescent="0.2">
      <c r="A46" s="48" t="s">
        <v>252</v>
      </c>
      <c r="B46" s="49">
        <f>$C$63-C46</f>
        <v>0.22638888888888886</v>
      </c>
      <c r="C46" s="49">
        <v>0.52708333333333335</v>
      </c>
      <c r="D46" s="35"/>
      <c r="E46" s="35"/>
      <c r="F46" s="18" t="s">
        <v>362</v>
      </c>
      <c r="G46" s="18"/>
      <c r="H46" s="18"/>
      <c r="I46" s="38" t="s">
        <v>254</v>
      </c>
      <c r="J46" s="37"/>
      <c r="K46" s="37"/>
      <c r="L46" s="37"/>
      <c r="M46" s="37"/>
      <c r="N46" s="38"/>
      <c r="O46" s="38"/>
      <c r="P46" s="38"/>
      <c r="Q46" s="38"/>
      <c r="R46" s="38" t="s">
        <v>256</v>
      </c>
      <c r="T46" s="4"/>
      <c r="U46" s="4"/>
    </row>
    <row r="47" spans="1:22" x14ac:dyDescent="0.2">
      <c r="A47" s="48" t="s">
        <v>252</v>
      </c>
      <c r="B47" s="49">
        <f>$C$63-C47</f>
        <v>0.22222222222222221</v>
      </c>
      <c r="C47" s="49">
        <v>0.53125</v>
      </c>
      <c r="D47" s="35"/>
      <c r="E47" s="35"/>
      <c r="F47" s="39" t="s">
        <v>257</v>
      </c>
      <c r="G47" s="18"/>
      <c r="H47" s="18"/>
      <c r="I47" s="38" t="s">
        <v>254</v>
      </c>
      <c r="J47" s="37"/>
      <c r="K47" s="37"/>
      <c r="L47" s="37"/>
      <c r="M47" s="37"/>
      <c r="N47" s="38"/>
      <c r="O47" s="38"/>
      <c r="P47" s="38"/>
      <c r="Q47" s="38"/>
      <c r="R47" s="38"/>
      <c r="T47" s="4"/>
      <c r="U47" s="4"/>
    </row>
    <row r="48" spans="1:22" s="85" customFormat="1" x14ac:dyDescent="0.2">
      <c r="A48" s="48" t="s">
        <v>252</v>
      </c>
      <c r="B48" s="49">
        <f t="shared" ref="B48:B62" si="6">$C$63-C48</f>
        <v>0.21180555555555558</v>
      </c>
      <c r="C48" s="96">
        <v>0.54166666666666663</v>
      </c>
      <c r="D48" s="96">
        <f>E48-C48</f>
        <v>0.125</v>
      </c>
      <c r="E48" s="96">
        <v>0.66666666666666663</v>
      </c>
      <c r="F48" s="84" t="s">
        <v>913</v>
      </c>
      <c r="G48" s="83"/>
      <c r="H48" s="83"/>
      <c r="I48" s="38" t="s">
        <v>254</v>
      </c>
      <c r="J48" s="37"/>
      <c r="K48" s="37"/>
      <c r="L48" s="37"/>
      <c r="M48" s="37"/>
      <c r="N48" s="38"/>
      <c r="O48" s="82"/>
      <c r="P48" s="82"/>
      <c r="Q48" s="82"/>
      <c r="R48" s="82" t="s">
        <v>256</v>
      </c>
      <c r="T48" s="86"/>
      <c r="U48" s="86"/>
      <c r="V48" s="87"/>
    </row>
    <row r="49" spans="1:22" x14ac:dyDescent="0.2">
      <c r="A49" s="48" t="s">
        <v>252</v>
      </c>
      <c r="B49" s="49">
        <f t="shared" si="6"/>
        <v>0.20138888888888884</v>
      </c>
      <c r="C49" s="49">
        <v>0.55208333333333337</v>
      </c>
      <c r="D49" s="35"/>
      <c r="E49" s="35"/>
      <c r="F49" s="47" t="s">
        <v>361</v>
      </c>
      <c r="G49" s="18"/>
      <c r="H49" s="18"/>
      <c r="I49" s="38" t="s">
        <v>254</v>
      </c>
      <c r="J49" s="37"/>
      <c r="K49" s="37"/>
      <c r="L49" s="37"/>
      <c r="M49" s="37"/>
      <c r="N49" s="38"/>
      <c r="O49" s="38"/>
      <c r="P49" s="38"/>
      <c r="Q49" s="38"/>
      <c r="R49" s="38"/>
      <c r="T49" s="4"/>
      <c r="U49" s="4"/>
    </row>
    <row r="50" spans="1:22" x14ac:dyDescent="0.2">
      <c r="A50" s="48" t="s">
        <v>252</v>
      </c>
      <c r="B50" s="49">
        <f t="shared" si="6"/>
        <v>0.19097222222222221</v>
      </c>
      <c r="C50" s="49">
        <v>0.5625</v>
      </c>
      <c r="D50" s="96">
        <f>E50-C50</f>
        <v>0.125</v>
      </c>
      <c r="E50" s="96">
        <v>0.6875</v>
      </c>
      <c r="F50" s="18" t="s">
        <v>958</v>
      </c>
      <c r="G50" s="18" t="s">
        <v>266</v>
      </c>
      <c r="H50" s="18"/>
      <c r="I50" s="38" t="s">
        <v>254</v>
      </c>
      <c r="J50" s="37"/>
      <c r="K50" s="37"/>
      <c r="L50" s="37"/>
      <c r="M50" s="37"/>
      <c r="N50" s="38"/>
      <c r="O50" s="38"/>
      <c r="P50" s="38"/>
      <c r="Q50" s="38"/>
      <c r="R50" s="38" t="s">
        <v>256</v>
      </c>
      <c r="T50" s="4"/>
      <c r="U50" s="4"/>
    </row>
    <row r="51" spans="1:22" x14ac:dyDescent="0.2">
      <c r="A51" s="48" t="s">
        <v>252</v>
      </c>
      <c r="B51" s="49">
        <f>$C$63-C51</f>
        <v>8.680555555555558E-2</v>
      </c>
      <c r="C51" s="49">
        <v>0.66666666666666663</v>
      </c>
      <c r="D51" s="35"/>
      <c r="E51" s="35"/>
      <c r="F51" s="20" t="s">
        <v>53</v>
      </c>
      <c r="G51" s="18"/>
      <c r="H51" s="18"/>
      <c r="I51" s="38" t="s">
        <v>254</v>
      </c>
      <c r="J51" s="37"/>
      <c r="K51" s="37"/>
      <c r="L51" s="37"/>
      <c r="M51" s="37"/>
      <c r="N51" s="38"/>
      <c r="O51" s="38"/>
      <c r="P51" s="38"/>
      <c r="Q51" s="38"/>
      <c r="R51" s="38"/>
      <c r="T51" s="4"/>
      <c r="U51" s="4"/>
    </row>
    <row r="52" spans="1:22" x14ac:dyDescent="0.2">
      <c r="A52" s="48" t="s">
        <v>252</v>
      </c>
      <c r="B52" s="49">
        <f t="shared" si="6"/>
        <v>8.680555555555558E-2</v>
      </c>
      <c r="C52" s="49">
        <v>0.66666666666666663</v>
      </c>
      <c r="D52" s="49">
        <f>E52-C52</f>
        <v>0.20833333333333337</v>
      </c>
      <c r="E52" s="49">
        <v>0.875</v>
      </c>
      <c r="F52" s="18" t="s">
        <v>892</v>
      </c>
      <c r="G52" s="18"/>
      <c r="H52" s="18"/>
      <c r="I52" s="38" t="s">
        <v>254</v>
      </c>
      <c r="J52" s="37"/>
      <c r="K52" s="37"/>
      <c r="L52" s="37"/>
      <c r="M52" s="37"/>
      <c r="N52" s="38"/>
      <c r="O52" s="38"/>
      <c r="P52" s="38"/>
      <c r="Q52" s="38"/>
      <c r="R52" s="38" t="s">
        <v>256</v>
      </c>
      <c r="T52" s="4"/>
      <c r="U52" s="4"/>
    </row>
    <row r="53" spans="1:22" x14ac:dyDescent="0.2">
      <c r="A53" s="48" t="s">
        <v>252</v>
      </c>
      <c r="B53" s="49">
        <f t="shared" si="6"/>
        <v>6.597222222222221E-2</v>
      </c>
      <c r="C53" s="49">
        <v>0.6875</v>
      </c>
      <c r="D53" s="49">
        <f>E53-C53</f>
        <v>4.861111111111116E-2</v>
      </c>
      <c r="E53" s="49">
        <v>0.73611111111111116</v>
      </c>
      <c r="F53" s="18" t="s">
        <v>893</v>
      </c>
      <c r="G53" s="18" t="s">
        <v>266</v>
      </c>
      <c r="H53" s="18"/>
      <c r="I53" s="38" t="s">
        <v>254</v>
      </c>
      <c r="J53" s="37"/>
      <c r="K53" s="37"/>
      <c r="L53" s="37"/>
      <c r="M53" s="37"/>
      <c r="N53" s="38"/>
      <c r="O53" s="38"/>
      <c r="P53" s="38"/>
      <c r="Q53" s="38"/>
      <c r="R53" s="38"/>
      <c r="T53" s="4"/>
      <c r="U53" s="4"/>
    </row>
    <row r="54" spans="1:22" x14ac:dyDescent="0.2">
      <c r="A54" s="48" t="s">
        <v>252</v>
      </c>
      <c r="B54" s="49">
        <f t="shared" si="6"/>
        <v>6.597222222222221E-2</v>
      </c>
      <c r="C54" s="49">
        <v>0.6875</v>
      </c>
      <c r="D54" s="49">
        <f>E54-C54</f>
        <v>6.25E-2</v>
      </c>
      <c r="E54" s="49">
        <f>C60</f>
        <v>0.75</v>
      </c>
      <c r="F54" s="18" t="s">
        <v>55</v>
      </c>
      <c r="G54" s="18"/>
      <c r="H54" s="18"/>
      <c r="I54" s="38" t="s">
        <v>254</v>
      </c>
      <c r="J54" s="37"/>
      <c r="K54" s="37"/>
      <c r="L54" s="37"/>
      <c r="M54" s="37"/>
      <c r="N54" s="38"/>
      <c r="O54" s="38"/>
      <c r="P54" s="38"/>
      <c r="Q54" s="38"/>
      <c r="R54" s="38" t="s">
        <v>256</v>
      </c>
      <c r="T54" s="4"/>
      <c r="U54" s="4"/>
    </row>
    <row r="55" spans="1:22" x14ac:dyDescent="0.2">
      <c r="A55" s="48" t="s">
        <v>252</v>
      </c>
      <c r="B55" s="49">
        <f t="shared" si="6"/>
        <v>5.555555555555558E-2</v>
      </c>
      <c r="C55" s="49">
        <v>0.69791666666666663</v>
      </c>
      <c r="D55" s="35"/>
      <c r="E55" s="35"/>
      <c r="F55" s="18" t="s">
        <v>473</v>
      </c>
      <c r="G55" s="18"/>
      <c r="H55" s="18"/>
      <c r="I55" s="38" t="s">
        <v>254</v>
      </c>
      <c r="J55" s="37"/>
      <c r="K55" s="37"/>
      <c r="L55" s="37"/>
      <c r="M55" s="37"/>
      <c r="N55" s="38"/>
      <c r="O55" s="38"/>
      <c r="P55" s="38"/>
      <c r="Q55" s="38"/>
      <c r="R55" s="38" t="s">
        <v>256</v>
      </c>
      <c r="T55" s="4"/>
      <c r="U55" s="4"/>
    </row>
    <row r="56" spans="1:22" x14ac:dyDescent="0.2">
      <c r="A56" s="48" t="s">
        <v>252</v>
      </c>
      <c r="B56" s="49">
        <f t="shared" si="6"/>
        <v>5.555555555555558E-2</v>
      </c>
      <c r="C56" s="49">
        <v>0.69791666666666663</v>
      </c>
      <c r="D56" s="35"/>
      <c r="E56" s="35"/>
      <c r="F56" s="18" t="s">
        <v>366</v>
      </c>
      <c r="G56" s="18"/>
      <c r="H56" s="18"/>
      <c r="I56" s="38" t="s">
        <v>254</v>
      </c>
      <c r="J56" s="37"/>
      <c r="K56" s="37"/>
      <c r="L56" s="37"/>
      <c r="M56" s="37"/>
      <c r="N56" s="38"/>
      <c r="O56" s="38"/>
      <c r="P56" s="38"/>
      <c r="Q56" s="38"/>
      <c r="R56" s="38" t="s">
        <v>256</v>
      </c>
      <c r="T56" s="4"/>
      <c r="U56" s="4"/>
    </row>
    <row r="57" spans="1:22" x14ac:dyDescent="0.2">
      <c r="A57" s="48" t="s">
        <v>252</v>
      </c>
      <c r="B57" s="49">
        <f t="shared" si="6"/>
        <v>4.513888888888884E-2</v>
      </c>
      <c r="C57" s="49">
        <v>0.70833333333333337</v>
      </c>
      <c r="D57" s="35"/>
      <c r="E57" s="35"/>
      <c r="F57" s="18" t="s">
        <v>52</v>
      </c>
      <c r="G57" s="18"/>
      <c r="H57" s="18"/>
      <c r="I57" s="38" t="s">
        <v>254</v>
      </c>
      <c r="J57" s="37"/>
      <c r="K57" s="37"/>
      <c r="L57" s="37"/>
      <c r="M57" s="37"/>
      <c r="N57" s="38"/>
      <c r="O57" s="38"/>
      <c r="P57" s="38"/>
      <c r="Q57" s="38"/>
      <c r="R57" s="38"/>
      <c r="T57" s="4"/>
      <c r="U57" s="4"/>
    </row>
    <row r="58" spans="1:22" x14ac:dyDescent="0.2">
      <c r="A58" s="48" t="s">
        <v>252</v>
      </c>
      <c r="B58" s="49">
        <f t="shared" si="6"/>
        <v>1.7361111111111049E-2</v>
      </c>
      <c r="C58" s="49">
        <v>0.73611111111111116</v>
      </c>
      <c r="D58" s="35"/>
      <c r="E58" s="35"/>
      <c r="F58" s="18" t="s">
        <v>367</v>
      </c>
      <c r="G58" s="18" t="s">
        <v>266</v>
      </c>
      <c r="H58" s="18"/>
      <c r="I58" s="38" t="s">
        <v>254</v>
      </c>
      <c r="J58" s="37"/>
      <c r="K58" s="37"/>
      <c r="L58" s="37"/>
      <c r="M58" s="37"/>
      <c r="N58" s="38"/>
      <c r="O58" s="38"/>
      <c r="P58" s="38"/>
      <c r="Q58" s="38"/>
      <c r="R58" s="38" t="s">
        <v>256</v>
      </c>
      <c r="T58" s="4"/>
      <c r="U58" s="4"/>
    </row>
    <row r="59" spans="1:22" x14ac:dyDescent="0.2">
      <c r="A59" s="48" t="s">
        <v>252</v>
      </c>
      <c r="B59" s="49">
        <f t="shared" si="6"/>
        <v>1.388888888888884E-2</v>
      </c>
      <c r="C59" s="49">
        <v>0.73958333333333337</v>
      </c>
      <c r="D59" s="35"/>
      <c r="E59" s="35"/>
      <c r="F59" s="18" t="s">
        <v>56</v>
      </c>
      <c r="G59" s="18"/>
      <c r="H59" s="18"/>
      <c r="I59" s="38" t="s">
        <v>254</v>
      </c>
      <c r="J59" s="37"/>
      <c r="K59" s="37"/>
      <c r="L59" s="37"/>
      <c r="M59" s="37"/>
      <c r="N59" s="38"/>
      <c r="O59" s="38"/>
      <c r="P59" s="38"/>
      <c r="Q59" s="38"/>
      <c r="R59" s="38" t="s">
        <v>256</v>
      </c>
      <c r="T59" s="4"/>
      <c r="U59" s="4"/>
    </row>
    <row r="60" spans="1:22" s="1" customFormat="1" x14ac:dyDescent="0.2">
      <c r="A60" s="75" t="s">
        <v>252</v>
      </c>
      <c r="B60" s="77">
        <f t="shared" si="6"/>
        <v>3.4722222222222099E-3</v>
      </c>
      <c r="C60" s="77">
        <v>0.75</v>
      </c>
      <c r="D60" s="76"/>
      <c r="E60" s="76"/>
      <c r="F60" s="31" t="s">
        <v>57</v>
      </c>
      <c r="G60" s="76"/>
      <c r="H60" s="76"/>
      <c r="I60" s="75" t="s">
        <v>254</v>
      </c>
      <c r="J60" s="76"/>
      <c r="K60" s="76"/>
      <c r="L60" s="108">
        <f t="shared" ref="L60:L84" si="7">C60</f>
        <v>0.75</v>
      </c>
      <c r="M60" s="108"/>
      <c r="N60" s="75"/>
      <c r="O60" s="75"/>
      <c r="P60" s="75"/>
      <c r="Q60" s="75"/>
      <c r="R60" s="75" t="s">
        <v>256</v>
      </c>
      <c r="T60" s="73"/>
      <c r="U60" s="73"/>
      <c r="V60" s="74"/>
    </row>
    <row r="61" spans="1:22" x14ac:dyDescent="0.2">
      <c r="A61" s="48" t="s">
        <v>252</v>
      </c>
      <c r="B61" s="49">
        <f t="shared" si="6"/>
        <v>3.4722222222222099E-3</v>
      </c>
      <c r="C61" s="49">
        <v>0.75</v>
      </c>
      <c r="D61" s="49">
        <v>2.0833333333333333E-3</v>
      </c>
      <c r="E61" s="49">
        <f>C61+D61</f>
        <v>0.75208333333333333</v>
      </c>
      <c r="F61" s="20" t="s">
        <v>894</v>
      </c>
      <c r="G61" s="18" t="s">
        <v>266</v>
      </c>
      <c r="H61" s="18"/>
      <c r="I61" s="38" t="s">
        <v>254</v>
      </c>
      <c r="J61" s="18" t="s">
        <v>959</v>
      </c>
      <c r="K61" s="37"/>
      <c r="L61" s="105">
        <f t="shared" si="7"/>
        <v>0.75</v>
      </c>
      <c r="M61" s="105">
        <f t="shared" ref="M61:M83" si="8">E61</f>
        <v>0.75208333333333333</v>
      </c>
      <c r="N61" s="38"/>
      <c r="O61" s="38" t="s">
        <v>256</v>
      </c>
      <c r="P61" s="38" t="s">
        <v>256</v>
      </c>
      <c r="Q61" s="38" t="s">
        <v>256</v>
      </c>
      <c r="R61" s="38"/>
      <c r="T61" s="4"/>
      <c r="U61" s="4"/>
    </row>
    <row r="62" spans="1:22" x14ac:dyDescent="0.2">
      <c r="A62" s="48" t="s">
        <v>252</v>
      </c>
      <c r="B62" s="49">
        <f t="shared" si="6"/>
        <v>1.388888888888884E-3</v>
      </c>
      <c r="C62" s="49">
        <f>E61</f>
        <v>0.75208333333333333</v>
      </c>
      <c r="D62" s="49">
        <v>1.3888888888888889E-3</v>
      </c>
      <c r="E62" s="49">
        <f>C62+D62</f>
        <v>0.75347222222222221</v>
      </c>
      <c r="F62" s="18" t="s">
        <v>59</v>
      </c>
      <c r="G62" s="18" t="s">
        <v>266</v>
      </c>
      <c r="H62" s="18"/>
      <c r="I62" s="38" t="s">
        <v>254</v>
      </c>
      <c r="J62" s="18" t="s">
        <v>959</v>
      </c>
      <c r="K62" s="37"/>
      <c r="L62" s="105">
        <f t="shared" si="7"/>
        <v>0.75208333333333333</v>
      </c>
      <c r="M62" s="105">
        <f t="shared" si="8"/>
        <v>0.75347222222222221</v>
      </c>
      <c r="N62" s="38"/>
      <c r="O62" s="38" t="s">
        <v>256</v>
      </c>
      <c r="P62" s="38" t="s">
        <v>256</v>
      </c>
      <c r="Q62" s="38" t="s">
        <v>256</v>
      </c>
      <c r="R62" s="38"/>
      <c r="T62" s="4"/>
      <c r="U62" s="4"/>
    </row>
    <row r="63" spans="1:22" s="1" customFormat="1" x14ac:dyDescent="0.2">
      <c r="A63" s="70"/>
      <c r="B63" s="72">
        <v>0</v>
      </c>
      <c r="C63" s="72">
        <v>0.75347222222222221</v>
      </c>
      <c r="D63" s="71"/>
      <c r="E63" s="71"/>
      <c r="F63" s="32" t="s">
        <v>60</v>
      </c>
      <c r="G63" s="71"/>
      <c r="H63" s="71"/>
      <c r="I63" s="70" t="s">
        <v>254</v>
      </c>
      <c r="J63" s="71" t="s">
        <v>959</v>
      </c>
      <c r="K63" s="71"/>
      <c r="L63" s="114">
        <f t="shared" si="7"/>
        <v>0.75347222222222221</v>
      </c>
      <c r="M63" s="114"/>
      <c r="N63" s="70"/>
      <c r="O63" s="70" t="s">
        <v>256</v>
      </c>
      <c r="P63" s="70" t="s">
        <v>256</v>
      </c>
      <c r="Q63" s="70" t="s">
        <v>256</v>
      </c>
      <c r="R63" s="70" t="s">
        <v>256</v>
      </c>
      <c r="T63" s="73"/>
      <c r="U63" s="73"/>
      <c r="V63" s="74"/>
    </row>
    <row r="64" spans="1:22" x14ac:dyDescent="0.2">
      <c r="A64" s="48" t="s">
        <v>279</v>
      </c>
      <c r="B64" s="49">
        <f>C64-$C$63</f>
        <v>0</v>
      </c>
      <c r="C64" s="49">
        <v>0.75347222222222221</v>
      </c>
      <c r="D64" s="96">
        <f>SUM(D65:D69)</f>
        <v>3.7326388888888888E-2</v>
      </c>
      <c r="E64" s="49">
        <f>C64+D64</f>
        <v>0.79079861111111105</v>
      </c>
      <c r="F64" s="18" t="s">
        <v>960</v>
      </c>
      <c r="G64" s="18" t="s">
        <v>266</v>
      </c>
      <c r="H64" s="18"/>
      <c r="I64" s="38" t="s">
        <v>254</v>
      </c>
      <c r="J64" s="18" t="s">
        <v>959</v>
      </c>
      <c r="K64" s="91" t="s">
        <v>961</v>
      </c>
      <c r="L64" s="105">
        <f t="shared" si="7"/>
        <v>0.75347222222222221</v>
      </c>
      <c r="M64" s="105">
        <f t="shared" si="8"/>
        <v>0.79079861111111105</v>
      </c>
      <c r="N64" s="38"/>
      <c r="O64" s="38" t="s">
        <v>256</v>
      </c>
      <c r="P64" s="38" t="s">
        <v>256</v>
      </c>
      <c r="Q64" s="38" t="s">
        <v>256</v>
      </c>
      <c r="R64" s="38"/>
      <c r="T64" s="4"/>
      <c r="U64" s="4"/>
    </row>
    <row r="65" spans="1:21" x14ac:dyDescent="0.2">
      <c r="A65" s="48" t="s">
        <v>279</v>
      </c>
      <c r="B65" s="49">
        <f>C65-$C$63</f>
        <v>0</v>
      </c>
      <c r="C65" s="49">
        <v>0.75347222222222221</v>
      </c>
      <c r="D65" s="96">
        <v>7.4652777777777781E-3</v>
      </c>
      <c r="E65" s="49">
        <f>C65+D65</f>
        <v>0.76093749999999993</v>
      </c>
      <c r="F65" s="18" t="s">
        <v>962</v>
      </c>
      <c r="G65" s="18" t="s">
        <v>266</v>
      </c>
      <c r="H65" s="18"/>
      <c r="I65" s="38" t="s">
        <v>254</v>
      </c>
      <c r="J65" s="18" t="s">
        <v>959</v>
      </c>
      <c r="K65" s="91"/>
      <c r="L65" s="105">
        <f t="shared" si="7"/>
        <v>0.75347222222222221</v>
      </c>
      <c r="M65" s="105">
        <f t="shared" si="8"/>
        <v>0.76093749999999993</v>
      </c>
      <c r="N65" s="38" t="s">
        <v>255</v>
      </c>
      <c r="O65" s="38" t="s">
        <v>256</v>
      </c>
      <c r="P65" s="38" t="s">
        <v>256</v>
      </c>
      <c r="Q65" s="38" t="s">
        <v>256</v>
      </c>
      <c r="R65" s="38"/>
      <c r="T65" s="4"/>
      <c r="U65" s="4"/>
    </row>
    <row r="66" spans="1:21" x14ac:dyDescent="0.2">
      <c r="A66" s="48" t="s">
        <v>279</v>
      </c>
      <c r="B66" s="49">
        <f>C66-$C$63</f>
        <v>7.4652777777777235E-3</v>
      </c>
      <c r="C66" s="49">
        <f>E65</f>
        <v>0.76093749999999993</v>
      </c>
      <c r="D66" s="96">
        <v>7.4652777777777781E-3</v>
      </c>
      <c r="E66" s="49">
        <f t="shared" ref="E66:E83" si="9">C66+D66</f>
        <v>0.76840277777777766</v>
      </c>
      <c r="F66" s="18" t="s">
        <v>963</v>
      </c>
      <c r="G66" s="18" t="s">
        <v>266</v>
      </c>
      <c r="H66" s="18"/>
      <c r="I66" s="38" t="s">
        <v>254</v>
      </c>
      <c r="J66" s="18" t="s">
        <v>959</v>
      </c>
      <c r="K66" s="91"/>
      <c r="L66" s="105">
        <f t="shared" si="7"/>
        <v>0.76093749999999993</v>
      </c>
      <c r="M66" s="105">
        <f t="shared" si="8"/>
        <v>0.76840277777777766</v>
      </c>
      <c r="N66" s="38" t="s">
        <v>255</v>
      </c>
      <c r="O66" s="38" t="s">
        <v>256</v>
      </c>
      <c r="P66" s="38" t="s">
        <v>256</v>
      </c>
      <c r="Q66" s="38" t="s">
        <v>256</v>
      </c>
      <c r="R66" s="38"/>
      <c r="T66" s="4"/>
      <c r="U66" s="4"/>
    </row>
    <row r="67" spans="1:21" x14ac:dyDescent="0.2">
      <c r="A67" s="48" t="s">
        <v>279</v>
      </c>
      <c r="B67" s="49">
        <f t="shared" ref="B67:B92" si="10">C67-$C$63</f>
        <v>1.4930555555555447E-2</v>
      </c>
      <c r="C67" s="49">
        <f t="shared" ref="C67:C83" si="11">E66</f>
        <v>0.76840277777777766</v>
      </c>
      <c r="D67" s="96">
        <v>7.4652777777777781E-3</v>
      </c>
      <c r="E67" s="49">
        <f t="shared" si="9"/>
        <v>0.77586805555555538</v>
      </c>
      <c r="F67" s="18" t="s">
        <v>964</v>
      </c>
      <c r="G67" s="18" t="s">
        <v>266</v>
      </c>
      <c r="H67" s="18"/>
      <c r="I67" s="38" t="s">
        <v>254</v>
      </c>
      <c r="J67" s="18" t="s">
        <v>959</v>
      </c>
      <c r="K67" s="91"/>
      <c r="L67" s="105">
        <f t="shared" si="7"/>
        <v>0.76840277777777766</v>
      </c>
      <c r="M67" s="105">
        <f t="shared" si="8"/>
        <v>0.77586805555555538</v>
      </c>
      <c r="N67" s="38" t="s">
        <v>255</v>
      </c>
      <c r="O67" s="38" t="s">
        <v>256</v>
      </c>
      <c r="P67" s="38" t="s">
        <v>256</v>
      </c>
      <c r="Q67" s="38" t="s">
        <v>256</v>
      </c>
      <c r="R67" s="38"/>
      <c r="T67" s="4"/>
      <c r="U67" s="4"/>
    </row>
    <row r="68" spans="1:21" x14ac:dyDescent="0.2">
      <c r="A68" s="48" t="s">
        <v>279</v>
      </c>
      <c r="B68" s="49">
        <f t="shared" si="10"/>
        <v>2.2395833333333171E-2</v>
      </c>
      <c r="C68" s="49">
        <f t="shared" si="11"/>
        <v>0.77586805555555538</v>
      </c>
      <c r="D68" s="96">
        <v>7.4652777777777781E-3</v>
      </c>
      <c r="E68" s="49">
        <f t="shared" si="9"/>
        <v>0.7833333333333331</v>
      </c>
      <c r="F68" s="18" t="s">
        <v>965</v>
      </c>
      <c r="G68" s="18" t="s">
        <v>266</v>
      </c>
      <c r="H68" s="18"/>
      <c r="I68" s="38" t="s">
        <v>254</v>
      </c>
      <c r="J68" s="18" t="s">
        <v>959</v>
      </c>
      <c r="K68" s="91"/>
      <c r="L68" s="105">
        <f t="shared" si="7"/>
        <v>0.77586805555555538</v>
      </c>
      <c r="M68" s="105">
        <f t="shared" si="8"/>
        <v>0.7833333333333331</v>
      </c>
      <c r="N68" s="38" t="s">
        <v>255</v>
      </c>
      <c r="O68" s="38" t="s">
        <v>256</v>
      </c>
      <c r="P68" s="38" t="s">
        <v>256</v>
      </c>
      <c r="Q68" s="38" t="s">
        <v>256</v>
      </c>
      <c r="R68" s="38"/>
      <c r="T68" s="4"/>
      <c r="U68" s="4"/>
    </row>
    <row r="69" spans="1:21" x14ac:dyDescent="0.2">
      <c r="A69" s="48" t="s">
        <v>279</v>
      </c>
      <c r="B69" s="49">
        <f t="shared" si="10"/>
        <v>2.9861111111110894E-2</v>
      </c>
      <c r="C69" s="49">
        <f t="shared" si="11"/>
        <v>0.7833333333333331</v>
      </c>
      <c r="D69" s="96">
        <v>7.4652777777777781E-3</v>
      </c>
      <c r="E69" s="49">
        <f t="shared" si="9"/>
        <v>0.79079861111111083</v>
      </c>
      <c r="F69" s="18" t="s">
        <v>966</v>
      </c>
      <c r="G69" s="18" t="s">
        <v>266</v>
      </c>
      <c r="H69" s="18"/>
      <c r="I69" s="38" t="s">
        <v>254</v>
      </c>
      <c r="J69" s="18" t="s">
        <v>959</v>
      </c>
      <c r="K69" s="91"/>
      <c r="L69" s="105">
        <f t="shared" si="7"/>
        <v>0.7833333333333331</v>
      </c>
      <c r="M69" s="105">
        <f t="shared" si="8"/>
        <v>0.79079861111111083</v>
      </c>
      <c r="N69" s="38" t="s">
        <v>255</v>
      </c>
      <c r="O69" s="38" t="s">
        <v>256</v>
      </c>
      <c r="P69" s="38" t="s">
        <v>256</v>
      </c>
      <c r="Q69" s="38" t="s">
        <v>256</v>
      </c>
      <c r="R69" s="38"/>
      <c r="T69" s="4"/>
      <c r="U69" s="4"/>
    </row>
    <row r="70" spans="1:21" x14ac:dyDescent="0.2">
      <c r="A70" s="48" t="s">
        <v>279</v>
      </c>
      <c r="B70" s="49">
        <f t="shared" si="10"/>
        <v>3.7326388888888618E-2</v>
      </c>
      <c r="C70" s="49">
        <f t="shared" si="11"/>
        <v>0.79079861111111083</v>
      </c>
      <c r="D70" s="96">
        <v>6.9444444444444441E-3</v>
      </c>
      <c r="E70" s="49">
        <f t="shared" si="9"/>
        <v>0.79774305555555525</v>
      </c>
      <c r="F70" s="18" t="s">
        <v>967</v>
      </c>
      <c r="G70" s="18" t="s">
        <v>266</v>
      </c>
      <c r="H70" s="18"/>
      <c r="I70" s="38" t="s">
        <v>254</v>
      </c>
      <c r="J70" s="18" t="s">
        <v>959</v>
      </c>
      <c r="K70" s="37"/>
      <c r="L70" s="105">
        <f t="shared" si="7"/>
        <v>0.79079861111111083</v>
      </c>
      <c r="M70" s="105">
        <f t="shared" si="8"/>
        <v>0.79774305555555525</v>
      </c>
      <c r="N70" s="38" t="s">
        <v>255</v>
      </c>
      <c r="O70" s="38" t="s">
        <v>256</v>
      </c>
      <c r="P70" s="38"/>
      <c r="Q70" s="38" t="s">
        <v>256</v>
      </c>
      <c r="R70" s="38"/>
      <c r="T70" s="4"/>
      <c r="U70" s="4"/>
    </row>
    <row r="71" spans="1:21" x14ac:dyDescent="0.2">
      <c r="A71" s="48" t="s">
        <v>279</v>
      </c>
      <c r="B71" s="49">
        <f t="shared" si="10"/>
        <v>4.4270833333333037E-2</v>
      </c>
      <c r="C71" s="49">
        <f t="shared" si="11"/>
        <v>0.79774305555555525</v>
      </c>
      <c r="D71" s="96">
        <v>6.9444444444444441E-3</v>
      </c>
      <c r="E71" s="49">
        <f t="shared" si="9"/>
        <v>0.80468749999999967</v>
      </c>
      <c r="F71" s="18" t="s">
        <v>905</v>
      </c>
      <c r="G71" s="18" t="s">
        <v>266</v>
      </c>
      <c r="H71" s="18"/>
      <c r="I71" s="38" t="s">
        <v>254</v>
      </c>
      <c r="J71" s="18" t="s">
        <v>959</v>
      </c>
      <c r="K71" s="90"/>
      <c r="L71" s="105">
        <f t="shared" si="7"/>
        <v>0.79774305555555525</v>
      </c>
      <c r="M71" s="105">
        <f t="shared" si="8"/>
        <v>0.80468749999999967</v>
      </c>
      <c r="N71" s="38" t="s">
        <v>255</v>
      </c>
      <c r="O71" s="38" t="s">
        <v>256</v>
      </c>
      <c r="P71" s="38"/>
      <c r="Q71" s="38" t="s">
        <v>256</v>
      </c>
      <c r="R71" s="38"/>
      <c r="T71" s="4"/>
      <c r="U71" s="4"/>
    </row>
    <row r="72" spans="1:21" x14ac:dyDescent="0.2">
      <c r="A72" s="48" t="s">
        <v>279</v>
      </c>
      <c r="B72" s="49">
        <f t="shared" si="10"/>
        <v>5.1215277777777457E-2</v>
      </c>
      <c r="C72" s="49">
        <f t="shared" si="11"/>
        <v>0.80468749999999967</v>
      </c>
      <c r="D72" s="96">
        <v>2.0833333333333333E-3</v>
      </c>
      <c r="E72" s="49">
        <f t="shared" si="9"/>
        <v>0.80677083333333299</v>
      </c>
      <c r="F72" s="18" t="s">
        <v>894</v>
      </c>
      <c r="G72" s="18" t="s">
        <v>266</v>
      </c>
      <c r="H72" s="18"/>
      <c r="I72" s="38" t="s">
        <v>254</v>
      </c>
      <c r="J72" s="18" t="s">
        <v>959</v>
      </c>
      <c r="K72" s="90"/>
      <c r="L72" s="105">
        <f t="shared" si="7"/>
        <v>0.80468749999999967</v>
      </c>
      <c r="M72" s="105">
        <f t="shared" si="8"/>
        <v>0.80677083333333299</v>
      </c>
      <c r="N72" s="38" t="s">
        <v>255</v>
      </c>
      <c r="O72" s="38" t="s">
        <v>256</v>
      </c>
      <c r="P72" s="38"/>
      <c r="Q72" s="38" t="s">
        <v>256</v>
      </c>
      <c r="R72" s="38"/>
      <c r="T72" s="4"/>
      <c r="U72" s="4"/>
    </row>
    <row r="73" spans="1:21" x14ac:dyDescent="0.2">
      <c r="A73" s="48" t="s">
        <v>279</v>
      </c>
      <c r="B73" s="49">
        <f t="shared" si="10"/>
        <v>5.3298611111110783E-2</v>
      </c>
      <c r="C73" s="49">
        <f t="shared" si="11"/>
        <v>0.80677083333333299</v>
      </c>
      <c r="D73" s="96">
        <v>1.3888888888888889E-3</v>
      </c>
      <c r="E73" s="49">
        <f t="shared" si="9"/>
        <v>0.80815972222222188</v>
      </c>
      <c r="F73" s="69" t="s">
        <v>59</v>
      </c>
      <c r="G73" s="18" t="s">
        <v>266</v>
      </c>
      <c r="H73" s="18"/>
      <c r="I73" s="38" t="s">
        <v>254</v>
      </c>
      <c r="J73" s="18" t="s">
        <v>959</v>
      </c>
      <c r="K73" s="90"/>
      <c r="L73" s="105">
        <f t="shared" si="7"/>
        <v>0.80677083333333299</v>
      </c>
      <c r="M73" s="105">
        <f t="shared" si="8"/>
        <v>0.80815972222222188</v>
      </c>
      <c r="N73" s="38" t="s">
        <v>255</v>
      </c>
      <c r="O73" s="38" t="s">
        <v>256</v>
      </c>
      <c r="P73" s="38"/>
      <c r="Q73" s="38" t="s">
        <v>256</v>
      </c>
      <c r="R73" s="38"/>
      <c r="T73" s="4"/>
      <c r="U73" s="4"/>
    </row>
    <row r="74" spans="1:21" x14ac:dyDescent="0.2">
      <c r="A74" s="48" t="s">
        <v>279</v>
      </c>
      <c r="B74" s="49">
        <f t="shared" si="10"/>
        <v>5.4687499999999667E-2</v>
      </c>
      <c r="C74" s="49">
        <f t="shared" si="11"/>
        <v>0.80815972222222188</v>
      </c>
      <c r="D74" s="96">
        <f>SUM(D75:D80)</f>
        <v>2.6041666666666664E-2</v>
      </c>
      <c r="E74" s="49">
        <f t="shared" si="9"/>
        <v>0.83420138888888851</v>
      </c>
      <c r="F74" s="18" t="s">
        <v>968</v>
      </c>
      <c r="G74" s="18" t="s">
        <v>266</v>
      </c>
      <c r="H74" s="18"/>
      <c r="I74" s="38" t="s">
        <v>254</v>
      </c>
      <c r="J74" s="18" t="s">
        <v>959</v>
      </c>
      <c r="K74" s="91" t="s">
        <v>969</v>
      </c>
      <c r="L74" s="105">
        <f t="shared" si="7"/>
        <v>0.80815972222222188</v>
      </c>
      <c r="M74" s="105">
        <f t="shared" si="8"/>
        <v>0.83420138888888851</v>
      </c>
      <c r="N74" s="38"/>
      <c r="O74" s="38" t="s">
        <v>256</v>
      </c>
      <c r="P74" s="38" t="s">
        <v>256</v>
      </c>
      <c r="Q74" s="38" t="s">
        <v>256</v>
      </c>
      <c r="R74" s="38"/>
      <c r="T74" s="4"/>
      <c r="U74" s="4"/>
    </row>
    <row r="75" spans="1:21" x14ac:dyDescent="0.2">
      <c r="A75" s="48" t="s">
        <v>279</v>
      </c>
      <c r="B75" s="49">
        <f t="shared" si="10"/>
        <v>5.4687499999999667E-2</v>
      </c>
      <c r="C75" s="49">
        <f>C74</f>
        <v>0.80815972222222188</v>
      </c>
      <c r="D75" s="96">
        <v>4.340277777777778E-3</v>
      </c>
      <c r="E75" s="49">
        <f t="shared" si="9"/>
        <v>0.81249999999999967</v>
      </c>
      <c r="F75" s="18" t="s">
        <v>970</v>
      </c>
      <c r="G75" s="18" t="s">
        <v>266</v>
      </c>
      <c r="H75" s="18"/>
      <c r="I75" s="38" t="s">
        <v>254</v>
      </c>
      <c r="J75" s="18" t="s">
        <v>959</v>
      </c>
      <c r="K75" s="91"/>
      <c r="L75" s="105">
        <f t="shared" si="7"/>
        <v>0.80815972222222188</v>
      </c>
      <c r="M75" s="105">
        <f t="shared" si="8"/>
        <v>0.81249999999999967</v>
      </c>
      <c r="N75" s="38" t="s">
        <v>255</v>
      </c>
      <c r="O75" s="38" t="s">
        <v>256</v>
      </c>
      <c r="P75" s="38" t="s">
        <v>256</v>
      </c>
      <c r="Q75" s="38" t="s">
        <v>256</v>
      </c>
      <c r="R75" s="38"/>
      <c r="T75" s="4"/>
      <c r="U75" s="4"/>
    </row>
    <row r="76" spans="1:21" x14ac:dyDescent="0.2">
      <c r="A76" s="48" t="s">
        <v>279</v>
      </c>
      <c r="B76" s="49">
        <f t="shared" si="10"/>
        <v>5.9027777777777457E-2</v>
      </c>
      <c r="C76" s="49">
        <f t="shared" si="11"/>
        <v>0.81249999999999967</v>
      </c>
      <c r="D76" s="96">
        <v>4.340277777777778E-3</v>
      </c>
      <c r="E76" s="49">
        <f t="shared" si="9"/>
        <v>0.81684027777777746</v>
      </c>
      <c r="F76" s="18" t="s">
        <v>971</v>
      </c>
      <c r="G76" s="18" t="s">
        <v>266</v>
      </c>
      <c r="H76" s="18"/>
      <c r="I76" s="38" t="s">
        <v>254</v>
      </c>
      <c r="J76" s="18" t="s">
        <v>959</v>
      </c>
      <c r="K76" s="91"/>
      <c r="L76" s="105">
        <f t="shared" si="7"/>
        <v>0.81249999999999967</v>
      </c>
      <c r="M76" s="105">
        <f t="shared" si="8"/>
        <v>0.81684027777777746</v>
      </c>
      <c r="N76" s="38" t="s">
        <v>255</v>
      </c>
      <c r="O76" s="38" t="s">
        <v>256</v>
      </c>
      <c r="P76" s="38" t="s">
        <v>256</v>
      </c>
      <c r="Q76" s="38" t="s">
        <v>256</v>
      </c>
      <c r="R76" s="38"/>
      <c r="T76" s="4"/>
      <c r="U76" s="4"/>
    </row>
    <row r="77" spans="1:21" x14ac:dyDescent="0.2">
      <c r="A77" s="48" t="s">
        <v>279</v>
      </c>
      <c r="B77" s="49">
        <f t="shared" si="10"/>
        <v>6.3368055555555247E-2</v>
      </c>
      <c r="C77" s="49">
        <f t="shared" si="11"/>
        <v>0.81684027777777746</v>
      </c>
      <c r="D77" s="96">
        <v>4.340277777777778E-3</v>
      </c>
      <c r="E77" s="49">
        <f t="shared" si="9"/>
        <v>0.82118055555555525</v>
      </c>
      <c r="F77" s="18" t="s">
        <v>972</v>
      </c>
      <c r="G77" s="18" t="s">
        <v>266</v>
      </c>
      <c r="H77" s="18"/>
      <c r="I77" s="38" t="s">
        <v>254</v>
      </c>
      <c r="J77" s="18" t="s">
        <v>959</v>
      </c>
      <c r="K77" s="91"/>
      <c r="L77" s="105">
        <f t="shared" si="7"/>
        <v>0.81684027777777746</v>
      </c>
      <c r="M77" s="105">
        <f t="shared" si="8"/>
        <v>0.82118055555555525</v>
      </c>
      <c r="N77" s="38" t="s">
        <v>255</v>
      </c>
      <c r="O77" s="38" t="s">
        <v>256</v>
      </c>
      <c r="P77" s="38" t="s">
        <v>256</v>
      </c>
      <c r="Q77" s="38" t="s">
        <v>256</v>
      </c>
      <c r="R77" s="38"/>
      <c r="T77" s="4"/>
      <c r="U77" s="4"/>
    </row>
    <row r="78" spans="1:21" x14ac:dyDescent="0.2">
      <c r="A78" s="48" t="s">
        <v>279</v>
      </c>
      <c r="B78" s="49">
        <f t="shared" si="10"/>
        <v>6.7708333333333037E-2</v>
      </c>
      <c r="C78" s="49">
        <f t="shared" si="11"/>
        <v>0.82118055555555525</v>
      </c>
      <c r="D78" s="96">
        <v>4.340277777777778E-3</v>
      </c>
      <c r="E78" s="49">
        <f t="shared" si="9"/>
        <v>0.82552083333333304</v>
      </c>
      <c r="F78" s="18" t="s">
        <v>973</v>
      </c>
      <c r="G78" s="18" t="s">
        <v>266</v>
      </c>
      <c r="H78" s="18"/>
      <c r="I78" s="38" t="s">
        <v>254</v>
      </c>
      <c r="J78" s="18" t="s">
        <v>959</v>
      </c>
      <c r="K78" s="91"/>
      <c r="L78" s="105">
        <f t="shared" si="7"/>
        <v>0.82118055555555525</v>
      </c>
      <c r="M78" s="105">
        <f t="shared" si="8"/>
        <v>0.82552083333333304</v>
      </c>
      <c r="N78" s="38" t="s">
        <v>255</v>
      </c>
      <c r="O78" s="38" t="s">
        <v>256</v>
      </c>
      <c r="P78" s="38" t="s">
        <v>256</v>
      </c>
      <c r="Q78" s="38" t="s">
        <v>256</v>
      </c>
      <c r="R78" s="38"/>
      <c r="T78" s="4"/>
      <c r="U78" s="4"/>
    </row>
    <row r="79" spans="1:21" x14ac:dyDescent="0.2">
      <c r="A79" s="48" t="s">
        <v>279</v>
      </c>
      <c r="B79" s="49">
        <f t="shared" si="10"/>
        <v>7.2048611111110827E-2</v>
      </c>
      <c r="C79" s="49">
        <f t="shared" si="11"/>
        <v>0.82552083333333304</v>
      </c>
      <c r="D79" s="96">
        <v>4.340277777777778E-3</v>
      </c>
      <c r="E79" s="49">
        <f t="shared" si="9"/>
        <v>0.82986111111111083</v>
      </c>
      <c r="F79" s="18" t="s">
        <v>974</v>
      </c>
      <c r="G79" s="18" t="s">
        <v>266</v>
      </c>
      <c r="H79" s="18"/>
      <c r="I79" s="38" t="s">
        <v>254</v>
      </c>
      <c r="J79" s="18" t="s">
        <v>959</v>
      </c>
      <c r="K79" s="91"/>
      <c r="L79" s="105">
        <f t="shared" si="7"/>
        <v>0.82552083333333304</v>
      </c>
      <c r="M79" s="105">
        <f t="shared" si="8"/>
        <v>0.82986111111111083</v>
      </c>
      <c r="N79" s="38" t="s">
        <v>255</v>
      </c>
      <c r="O79" s="38" t="s">
        <v>256</v>
      </c>
      <c r="P79" s="38" t="s">
        <v>256</v>
      </c>
      <c r="Q79" s="38" t="s">
        <v>256</v>
      </c>
      <c r="R79" s="38"/>
      <c r="T79" s="4"/>
      <c r="U79" s="4"/>
    </row>
    <row r="80" spans="1:21" x14ac:dyDescent="0.2">
      <c r="A80" s="48" t="s">
        <v>279</v>
      </c>
      <c r="B80" s="49">
        <f t="shared" si="10"/>
        <v>7.6388888888888618E-2</v>
      </c>
      <c r="C80" s="49">
        <f t="shared" si="11"/>
        <v>0.82986111111111083</v>
      </c>
      <c r="D80" s="96">
        <v>4.340277777777778E-3</v>
      </c>
      <c r="E80" s="49">
        <f t="shared" si="9"/>
        <v>0.83420138888888862</v>
      </c>
      <c r="F80" s="18" t="s">
        <v>975</v>
      </c>
      <c r="G80" s="18" t="s">
        <v>266</v>
      </c>
      <c r="H80" s="18"/>
      <c r="I80" s="38" t="s">
        <v>254</v>
      </c>
      <c r="J80" s="18" t="s">
        <v>959</v>
      </c>
      <c r="K80" s="91"/>
      <c r="L80" s="105">
        <f t="shared" si="7"/>
        <v>0.82986111111111083</v>
      </c>
      <c r="M80" s="105">
        <f t="shared" si="8"/>
        <v>0.83420138888888862</v>
      </c>
      <c r="N80" s="38" t="s">
        <v>255</v>
      </c>
      <c r="O80" s="38" t="s">
        <v>256</v>
      </c>
      <c r="P80" s="38" t="s">
        <v>256</v>
      </c>
      <c r="Q80" s="38" t="s">
        <v>256</v>
      </c>
      <c r="R80" s="38"/>
      <c r="T80" s="4"/>
      <c r="U80" s="4"/>
    </row>
    <row r="81" spans="1:21" x14ac:dyDescent="0.2">
      <c r="A81" s="48" t="s">
        <v>279</v>
      </c>
      <c r="B81" s="49">
        <f t="shared" si="10"/>
        <v>8.0729166666666408E-2</v>
      </c>
      <c r="C81" s="49">
        <f t="shared" si="11"/>
        <v>0.83420138888888862</v>
      </c>
      <c r="D81" s="96">
        <v>3.472222222222222E-3</v>
      </c>
      <c r="E81" s="49">
        <f t="shared" si="9"/>
        <v>0.83767361111111083</v>
      </c>
      <c r="F81" s="18" t="s">
        <v>931</v>
      </c>
      <c r="G81" s="18" t="s">
        <v>266</v>
      </c>
      <c r="H81" s="18"/>
      <c r="I81" s="38" t="s">
        <v>254</v>
      </c>
      <c r="J81" s="18" t="s">
        <v>959</v>
      </c>
      <c r="K81" s="90"/>
      <c r="L81" s="105">
        <f t="shared" si="7"/>
        <v>0.83420138888888862</v>
      </c>
      <c r="M81" s="105">
        <f t="shared" si="8"/>
        <v>0.83767361111111083</v>
      </c>
      <c r="N81" s="38" t="s">
        <v>255</v>
      </c>
      <c r="O81" s="38" t="s">
        <v>256</v>
      </c>
      <c r="P81" s="38"/>
      <c r="Q81" s="38" t="s">
        <v>256</v>
      </c>
      <c r="R81" s="38"/>
      <c r="T81" s="4"/>
      <c r="U81" s="4"/>
    </row>
    <row r="82" spans="1:21" x14ac:dyDescent="0.2">
      <c r="A82" s="48" t="s">
        <v>279</v>
      </c>
      <c r="B82" s="49">
        <f t="shared" si="10"/>
        <v>8.4201388888888618E-2</v>
      </c>
      <c r="C82" s="49">
        <f t="shared" si="11"/>
        <v>0.83767361111111083</v>
      </c>
      <c r="D82" s="96">
        <v>5.3240740740740748E-3</v>
      </c>
      <c r="E82" s="49">
        <f t="shared" si="9"/>
        <v>0.84299768518518492</v>
      </c>
      <c r="F82" s="18" t="s">
        <v>976</v>
      </c>
      <c r="G82" s="18" t="s">
        <v>266</v>
      </c>
      <c r="H82" s="18"/>
      <c r="I82" s="38" t="s">
        <v>254</v>
      </c>
      <c r="J82" s="18" t="s">
        <v>959</v>
      </c>
      <c r="K82" s="91" t="s">
        <v>977</v>
      </c>
      <c r="L82" s="105">
        <f t="shared" si="7"/>
        <v>0.83767361111111083</v>
      </c>
      <c r="M82" s="105">
        <f t="shared" si="8"/>
        <v>0.84299768518518492</v>
      </c>
      <c r="N82" s="38"/>
      <c r="O82" s="38" t="s">
        <v>256</v>
      </c>
      <c r="P82" s="38" t="s">
        <v>256</v>
      </c>
      <c r="Q82" s="38" t="s">
        <v>256</v>
      </c>
      <c r="R82" s="38"/>
      <c r="T82" s="4"/>
      <c r="U82" s="4"/>
    </row>
    <row r="83" spans="1:21" x14ac:dyDescent="0.2">
      <c r="A83" s="48" t="s">
        <v>279</v>
      </c>
      <c r="B83" s="49">
        <f t="shared" si="10"/>
        <v>8.952546296296271E-2</v>
      </c>
      <c r="C83" s="49">
        <f t="shared" si="11"/>
        <v>0.84299768518518492</v>
      </c>
      <c r="D83" s="96">
        <v>5.6712962962962958E-3</v>
      </c>
      <c r="E83" s="49">
        <f t="shared" si="9"/>
        <v>0.84866898148148118</v>
      </c>
      <c r="F83" s="18" t="s">
        <v>978</v>
      </c>
      <c r="G83" s="18" t="s">
        <v>266</v>
      </c>
      <c r="H83" s="18"/>
      <c r="I83" s="38" t="s">
        <v>254</v>
      </c>
      <c r="J83" s="18" t="s">
        <v>959</v>
      </c>
      <c r="K83" s="91" t="s">
        <v>979</v>
      </c>
      <c r="L83" s="105">
        <f t="shared" si="7"/>
        <v>0.84299768518518492</v>
      </c>
      <c r="M83" s="105">
        <f t="shared" si="8"/>
        <v>0.84866898148148118</v>
      </c>
      <c r="N83" s="38"/>
      <c r="O83" s="38" t="s">
        <v>256</v>
      </c>
      <c r="P83" s="38" t="s">
        <v>256</v>
      </c>
      <c r="Q83" s="38" t="s">
        <v>256</v>
      </c>
      <c r="R83" s="38"/>
      <c r="T83" s="4"/>
      <c r="U83" s="4"/>
    </row>
    <row r="84" spans="1:21" x14ac:dyDescent="0.2">
      <c r="A84" s="80" t="s">
        <v>279</v>
      </c>
      <c r="B84" s="78">
        <f t="shared" si="10"/>
        <v>0.10069444444444442</v>
      </c>
      <c r="C84" s="78">
        <v>0.85416666666666663</v>
      </c>
      <c r="D84" s="45"/>
      <c r="E84" s="45"/>
      <c r="F84" s="33" t="s">
        <v>62</v>
      </c>
      <c r="G84" s="45"/>
      <c r="H84" s="45"/>
      <c r="I84" s="46" t="s">
        <v>254</v>
      </c>
      <c r="J84" s="45"/>
      <c r="K84" s="45"/>
      <c r="L84" s="109">
        <f t="shared" si="7"/>
        <v>0.85416666666666663</v>
      </c>
      <c r="M84" s="109"/>
      <c r="N84" s="46"/>
      <c r="O84" s="46" t="s">
        <v>256</v>
      </c>
      <c r="P84" s="46" t="s">
        <v>256</v>
      </c>
      <c r="Q84" s="46" t="s">
        <v>256</v>
      </c>
      <c r="R84" s="46" t="s">
        <v>256</v>
      </c>
      <c r="T84" s="4"/>
      <c r="U84" s="4"/>
    </row>
    <row r="85" spans="1:21" x14ac:dyDescent="0.2">
      <c r="A85" s="48" t="s">
        <v>279</v>
      </c>
      <c r="B85" s="49">
        <f>C85-$C$63</f>
        <v>0.10416666666666663</v>
      </c>
      <c r="C85" s="49">
        <v>0.85763888888888884</v>
      </c>
      <c r="D85" s="35"/>
      <c r="E85" s="35"/>
      <c r="F85" s="47" t="s">
        <v>412</v>
      </c>
      <c r="G85" s="18"/>
      <c r="H85" s="18"/>
      <c r="I85" s="38" t="s">
        <v>254</v>
      </c>
      <c r="J85" s="37"/>
      <c r="K85" s="37"/>
      <c r="L85" s="37"/>
      <c r="M85" s="37"/>
      <c r="N85" s="38"/>
      <c r="O85" s="38"/>
      <c r="P85" s="38"/>
      <c r="Q85" s="38"/>
      <c r="R85" s="38"/>
      <c r="T85" s="4"/>
      <c r="U85" s="4"/>
    </row>
    <row r="86" spans="1:21" x14ac:dyDescent="0.2">
      <c r="A86" s="48" t="s">
        <v>279</v>
      </c>
      <c r="B86" s="49">
        <f t="shared" si="10"/>
        <v>0.10555555555555562</v>
      </c>
      <c r="C86" s="49">
        <v>0.85902777777777783</v>
      </c>
      <c r="D86" s="35"/>
      <c r="E86" s="35"/>
      <c r="F86" s="47" t="s">
        <v>65</v>
      </c>
      <c r="G86" s="18"/>
      <c r="H86" s="18"/>
      <c r="I86" s="38" t="s">
        <v>254</v>
      </c>
      <c r="J86" s="37"/>
      <c r="K86" s="37"/>
      <c r="L86" s="37"/>
      <c r="M86" s="37"/>
      <c r="N86" s="38"/>
      <c r="O86" s="38"/>
      <c r="P86" s="38"/>
      <c r="Q86" s="38"/>
      <c r="R86" s="38" t="s">
        <v>256</v>
      </c>
      <c r="T86" s="4"/>
      <c r="U86" s="4"/>
    </row>
    <row r="87" spans="1:21" x14ac:dyDescent="0.2">
      <c r="A87" s="48" t="s">
        <v>279</v>
      </c>
      <c r="B87" s="49">
        <f t="shared" si="10"/>
        <v>0.10555555555555562</v>
      </c>
      <c r="C87" s="49">
        <v>0.85902777777777783</v>
      </c>
      <c r="D87" s="35"/>
      <c r="E87" s="35"/>
      <c r="F87" s="18" t="s">
        <v>362</v>
      </c>
      <c r="G87" s="18"/>
      <c r="H87" s="18"/>
      <c r="I87" s="38" t="s">
        <v>254</v>
      </c>
      <c r="J87" s="37"/>
      <c r="K87" s="37"/>
      <c r="L87" s="37"/>
      <c r="M87" s="37"/>
      <c r="N87" s="38"/>
      <c r="O87" s="38"/>
      <c r="P87" s="38"/>
      <c r="Q87" s="38"/>
      <c r="R87" s="38"/>
      <c r="T87" s="4"/>
      <c r="U87" s="4"/>
    </row>
    <row r="88" spans="1:21" x14ac:dyDescent="0.2">
      <c r="A88" s="48" t="s">
        <v>279</v>
      </c>
      <c r="B88" s="49">
        <f t="shared" si="10"/>
        <v>0.12152777777777779</v>
      </c>
      <c r="C88" s="49">
        <v>0.875</v>
      </c>
      <c r="D88" s="35"/>
      <c r="E88" s="35"/>
      <c r="F88" s="20" t="s">
        <v>67</v>
      </c>
      <c r="G88" s="18"/>
      <c r="H88" s="18"/>
      <c r="I88" s="38" t="s">
        <v>254</v>
      </c>
      <c r="J88" s="37"/>
      <c r="K88" s="37"/>
      <c r="L88" s="37"/>
      <c r="M88" s="37"/>
      <c r="N88" s="38"/>
      <c r="O88" s="38"/>
      <c r="P88" s="38"/>
      <c r="Q88" s="38"/>
      <c r="R88" s="38" t="s">
        <v>256</v>
      </c>
      <c r="T88" s="4"/>
      <c r="U88" s="4"/>
    </row>
    <row r="89" spans="1:21" x14ac:dyDescent="0.2">
      <c r="A89" s="48" t="s">
        <v>279</v>
      </c>
      <c r="B89" s="49">
        <f>C89-$C$63</f>
        <v>0.12152777777777779</v>
      </c>
      <c r="C89" s="49">
        <v>0.875</v>
      </c>
      <c r="D89" s="35"/>
      <c r="E89" s="35"/>
      <c r="F89" s="47" t="s">
        <v>361</v>
      </c>
      <c r="G89" s="18"/>
      <c r="H89" s="18"/>
      <c r="I89" s="38" t="s">
        <v>254</v>
      </c>
      <c r="J89" s="37"/>
      <c r="K89" s="37"/>
      <c r="L89" s="37"/>
      <c r="M89" s="37"/>
      <c r="N89" s="38"/>
      <c r="O89" s="38"/>
      <c r="P89" s="38"/>
      <c r="Q89" s="38"/>
      <c r="R89" s="38"/>
      <c r="T89" s="4"/>
      <c r="U89" s="4"/>
    </row>
    <row r="90" spans="1:21" x14ac:dyDescent="0.2">
      <c r="A90" s="48" t="s">
        <v>279</v>
      </c>
      <c r="B90" s="49">
        <f t="shared" si="10"/>
        <v>0.13194444444444442</v>
      </c>
      <c r="C90" s="95">
        <v>0.88541666666666663</v>
      </c>
      <c r="D90" s="35"/>
      <c r="E90" s="35"/>
      <c r="F90" s="47" t="s">
        <v>413</v>
      </c>
      <c r="G90" s="18"/>
      <c r="H90" s="18"/>
      <c r="I90" s="38" t="s">
        <v>254</v>
      </c>
      <c r="J90" s="37"/>
      <c r="K90" s="37"/>
      <c r="L90" s="37"/>
      <c r="M90" s="37"/>
      <c r="N90" s="38"/>
      <c r="O90" s="38"/>
      <c r="P90" s="38"/>
      <c r="Q90" s="38"/>
      <c r="R90" s="38"/>
      <c r="T90" s="4"/>
      <c r="U90" s="4"/>
    </row>
    <row r="91" spans="1:21" x14ac:dyDescent="0.2">
      <c r="A91" s="48" t="s">
        <v>279</v>
      </c>
      <c r="B91" s="49">
        <f t="shared" si="10"/>
        <v>0.16319444444444442</v>
      </c>
      <c r="C91" s="97">
        <v>0.91666666666666663</v>
      </c>
      <c r="D91" s="35"/>
      <c r="E91" s="35"/>
      <c r="F91" s="18" t="s">
        <v>414</v>
      </c>
      <c r="G91" s="18"/>
      <c r="H91" s="18"/>
      <c r="I91" s="38" t="s">
        <v>254</v>
      </c>
      <c r="J91" s="37"/>
      <c r="K91" s="37"/>
      <c r="L91" s="37"/>
      <c r="M91" s="37"/>
      <c r="N91" s="38"/>
      <c r="O91" s="38"/>
      <c r="P91" s="38"/>
      <c r="Q91" s="38"/>
      <c r="R91" s="38" t="s">
        <v>256</v>
      </c>
      <c r="T91" s="4"/>
      <c r="U91" s="4"/>
    </row>
    <row r="92" spans="1:21" x14ac:dyDescent="0.2">
      <c r="A92" s="48" t="s">
        <v>279</v>
      </c>
      <c r="B92" s="49">
        <f t="shared" si="10"/>
        <v>0.18402777777777779</v>
      </c>
      <c r="C92" s="97">
        <v>0.9375</v>
      </c>
      <c r="D92" s="35"/>
      <c r="E92" s="35"/>
      <c r="F92" s="18" t="s">
        <v>415</v>
      </c>
      <c r="G92" s="18"/>
      <c r="H92" s="18"/>
      <c r="I92" s="38" t="s">
        <v>254</v>
      </c>
      <c r="J92" s="37"/>
      <c r="K92" s="37"/>
      <c r="L92" s="37"/>
      <c r="M92" s="37"/>
      <c r="N92" s="38"/>
      <c r="O92" s="38"/>
      <c r="P92" s="38"/>
      <c r="Q92" s="38"/>
      <c r="R92" s="38" t="s">
        <v>256</v>
      </c>
      <c r="T92" s="4"/>
      <c r="U92" s="4"/>
    </row>
    <row r="93" spans="1:21" x14ac:dyDescent="0.2">
      <c r="T93" s="4"/>
      <c r="U93" s="4"/>
    </row>
    <row r="94" spans="1:21" x14ac:dyDescent="0.2">
      <c r="T94" s="4"/>
      <c r="U94" s="4"/>
    </row>
    <row r="95" spans="1:21" x14ac:dyDescent="0.2">
      <c r="T95" s="4"/>
      <c r="U95" s="4"/>
    </row>
    <row r="96" spans="1:21" x14ac:dyDescent="0.2">
      <c r="T96" s="4"/>
      <c r="U96" s="4"/>
    </row>
    <row r="97" spans="20:21" x14ac:dyDescent="0.2">
      <c r="T97" s="4"/>
      <c r="U97" s="4"/>
    </row>
    <row r="98" spans="20:21" x14ac:dyDescent="0.2">
      <c r="T98" s="4"/>
      <c r="U98" s="4"/>
    </row>
    <row r="99" spans="20:21" x14ac:dyDescent="0.2">
      <c r="T99" s="4"/>
      <c r="U99" s="4"/>
    </row>
    <row r="100" spans="20:21" x14ac:dyDescent="0.2">
      <c r="T100" s="4"/>
      <c r="U100" s="4"/>
    </row>
    <row r="101" spans="20:21" x14ac:dyDescent="0.2">
      <c r="T101" s="4"/>
      <c r="U101" s="4"/>
    </row>
    <row r="102" spans="20:21" x14ac:dyDescent="0.2">
      <c r="T102" s="4"/>
      <c r="U102" s="4"/>
    </row>
    <row r="103" spans="20:21" x14ac:dyDescent="0.2">
      <c r="T103" s="4"/>
      <c r="U103" s="4"/>
    </row>
    <row r="104" spans="20:21" x14ac:dyDescent="0.2">
      <c r="T104" s="4"/>
      <c r="U104" s="4"/>
    </row>
    <row r="105" spans="20:21" x14ac:dyDescent="0.2">
      <c r="T105" s="4"/>
      <c r="U105" s="4"/>
    </row>
    <row r="106" spans="20:21" x14ac:dyDescent="0.2">
      <c r="T106" s="4"/>
      <c r="U106" s="4"/>
    </row>
    <row r="107" spans="20:21" x14ac:dyDescent="0.2">
      <c r="T107" s="4"/>
      <c r="U107" s="4"/>
    </row>
    <row r="108" spans="20:21" x14ac:dyDescent="0.2">
      <c r="T108" s="4"/>
      <c r="U108" s="4"/>
    </row>
    <row r="109" spans="20:21" x14ac:dyDescent="0.2">
      <c r="T109" s="4"/>
      <c r="U109" s="4"/>
    </row>
    <row r="110" spans="20:21" x14ac:dyDescent="0.2">
      <c r="T110" s="4"/>
      <c r="U110" s="4"/>
    </row>
    <row r="111" spans="20:21" x14ac:dyDescent="0.2">
      <c r="T111" s="4"/>
      <c r="U111" s="4"/>
    </row>
    <row r="112" spans="20:21" x14ac:dyDescent="0.2">
      <c r="T112" s="4"/>
      <c r="U112" s="4"/>
    </row>
    <row r="113" spans="20:21" x14ac:dyDescent="0.2">
      <c r="T113" s="4"/>
      <c r="U113" s="4"/>
    </row>
    <row r="114" spans="20:21" x14ac:dyDescent="0.2">
      <c r="T114" s="4"/>
      <c r="U114" s="4"/>
    </row>
    <row r="115" spans="20:21" x14ac:dyDescent="0.2">
      <c r="T115" s="4"/>
      <c r="U115" s="4"/>
    </row>
    <row r="116" spans="20:21" x14ac:dyDescent="0.2">
      <c r="T116" s="4"/>
      <c r="U116" s="4"/>
    </row>
    <row r="117" spans="20:21" x14ac:dyDescent="0.2">
      <c r="T117" s="4"/>
      <c r="U117" s="4"/>
    </row>
    <row r="118" spans="20:21" x14ac:dyDescent="0.2">
      <c r="T118" s="4"/>
      <c r="U118" s="4"/>
    </row>
    <row r="119" spans="20:21" x14ac:dyDescent="0.2">
      <c r="T119" s="4"/>
      <c r="U119" s="4"/>
    </row>
    <row r="120" spans="20:21" x14ac:dyDescent="0.2">
      <c r="T120" s="4"/>
      <c r="U120" s="4"/>
    </row>
    <row r="121" spans="20:21" x14ac:dyDescent="0.2">
      <c r="T121" s="4"/>
      <c r="U121" s="4"/>
    </row>
    <row r="122" spans="20:21" x14ac:dyDescent="0.2">
      <c r="T122" s="4"/>
      <c r="U122" s="4"/>
    </row>
    <row r="123" spans="20:21" x14ac:dyDescent="0.2">
      <c r="T123" s="4"/>
      <c r="U123" s="4"/>
    </row>
  </sheetData>
  <sheetProtection algorithmName="SHA-512" hashValue="54a1HuhfkngJWABV8Ri8iQZ1cigFFyFUge3HC0MTBJvkw+ii1dpkGg47Uk0S8Y5XU/ABYH5znmBsquqOsytRXQ==" saltValue="ztAa6WGPnmxbgxAwsfyCPQ==" spinCount="100000" sheet="1" objects="1" scenarios="1"/>
  <mergeCells count="9">
    <mergeCell ref="K2:N2"/>
    <mergeCell ref="O2:R2"/>
    <mergeCell ref="B1:R1"/>
    <mergeCell ref="A2:E2"/>
    <mergeCell ref="F2:F3"/>
    <mergeCell ref="G2:G3"/>
    <mergeCell ref="H2:H3"/>
    <mergeCell ref="I2:I3"/>
    <mergeCell ref="J2:J3"/>
  </mergeCells>
  <phoneticPr fontId="2" type="noConversion"/>
  <dataValidations count="1">
    <dataValidation type="list" allowBlank="1" showInputMessage="1" showErrorMessage="1" sqref="T3" xr:uid="{5BB87AA8-E8CA-4D5A-B73C-1046E0BE0ED3}">
      <formula1>"SCM,BRD,CER"</formula1>
    </dataValidation>
  </dataValidations>
  <pageMargins left="0.7" right="0.7" top="0.75" bottom="0.75" header="0.3" footer="0.3"/>
  <pageSetup paperSize="8" scale="58" fitToHeight="0" orientation="landscape" r:id="rId1"/>
  <headerFooter>
    <oddHeader>&amp;C&amp;"Calibri"&amp;10&amp;K000000 Official&amp;1#_x000D_</oddHeader>
    <oddFooter>&amp;C_x000D_&amp;1#&amp;"Calibri"&amp;10&amp;K000000 Official</oddFooter>
  </headerFooter>
  <ignoredErrors>
    <ignoredError sqref="C25 C36 C75" formula="1"/>
    <ignoredError sqref="D25 D35 D74 D64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5273-02E1-4CEC-BD93-9AF015DE1DCF}">
  <sheetPr>
    <tabColor rgb="FFF71EE5"/>
    <pageSetUpPr fitToPage="1"/>
  </sheetPr>
  <dimension ref="A1:V123"/>
  <sheetViews>
    <sheetView topLeftCell="A49" zoomScale="70" zoomScaleNormal="70" workbookViewId="0">
      <selection activeCell="I67" sqref="I67"/>
    </sheetView>
  </sheetViews>
  <sheetFormatPr defaultColWidth="9" defaultRowHeight="14.25" x14ac:dyDescent="0.2"/>
  <cols>
    <col min="2" max="2" width="10.625" customWidth="1"/>
    <col min="3" max="3" width="10.5" bestFit="1" customWidth="1"/>
    <col min="4" max="4" width="12.125" customWidth="1"/>
    <col min="5" max="5" width="11" customWidth="1"/>
    <col min="6" max="6" width="59.625" customWidth="1"/>
    <col min="7" max="7" width="24.125" customWidth="1"/>
    <col min="8" max="8" width="18.125" customWidth="1"/>
    <col min="9" max="9" width="15.875" style="2" bestFit="1" customWidth="1"/>
    <col min="10" max="10" width="9.125" bestFit="1" customWidth="1"/>
    <col min="11" max="11" width="42.125" bestFit="1" customWidth="1"/>
    <col min="12" max="13" width="11.625" customWidth="1"/>
    <col min="14" max="14" width="11.625" style="2" customWidth="1"/>
    <col min="22" max="22" width="9" style="5"/>
    <col min="23" max="23" width="16.125" bestFit="1" customWidth="1"/>
    <col min="25" max="25" width="15.125" customWidth="1"/>
  </cols>
  <sheetData>
    <row r="1" spans="1:22" x14ac:dyDescent="0.2">
      <c r="A1" s="18"/>
      <c r="B1" s="119" t="s">
        <v>980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</row>
    <row r="2" spans="1:22" x14ac:dyDescent="0.2">
      <c r="A2" s="121" t="s">
        <v>250</v>
      </c>
      <c r="B2" s="121"/>
      <c r="C2" s="121"/>
      <c r="D2" s="121"/>
      <c r="E2" s="121"/>
      <c r="F2" s="119" t="s">
        <v>10</v>
      </c>
      <c r="G2" s="119" t="s">
        <v>11</v>
      </c>
      <c r="H2" s="119" t="s">
        <v>13</v>
      </c>
      <c r="I2" s="120" t="s">
        <v>15</v>
      </c>
      <c r="J2" s="119" t="s">
        <v>17</v>
      </c>
      <c r="K2" s="119" t="s">
        <v>26</v>
      </c>
      <c r="L2" s="119"/>
      <c r="M2" s="119"/>
      <c r="N2" s="119"/>
      <c r="O2" s="119" t="s">
        <v>34</v>
      </c>
      <c r="P2" s="119"/>
      <c r="Q2" s="119"/>
      <c r="R2" s="119"/>
    </row>
    <row r="3" spans="1:22" x14ac:dyDescent="0.2">
      <c r="A3" s="29" t="s">
        <v>0</v>
      </c>
      <c r="B3" s="30" t="s">
        <v>2</v>
      </c>
      <c r="C3" s="30" t="s">
        <v>4</v>
      </c>
      <c r="D3" s="30" t="s">
        <v>6</v>
      </c>
      <c r="E3" s="30" t="s">
        <v>8</v>
      </c>
      <c r="F3" s="119"/>
      <c r="G3" s="119"/>
      <c r="H3" s="119"/>
      <c r="I3" s="120"/>
      <c r="J3" s="119"/>
      <c r="K3" s="7" t="s">
        <v>27</v>
      </c>
      <c r="L3" s="7" t="s">
        <v>4</v>
      </c>
      <c r="M3" s="7" t="s">
        <v>30</v>
      </c>
      <c r="N3" s="28" t="s">
        <v>32</v>
      </c>
      <c r="O3" s="28" t="s">
        <v>35</v>
      </c>
      <c r="P3" s="28" t="s">
        <v>37</v>
      </c>
      <c r="Q3" s="28" t="s">
        <v>39</v>
      </c>
      <c r="R3" s="28" t="s">
        <v>41</v>
      </c>
      <c r="T3" s="3" t="s">
        <v>251</v>
      </c>
    </row>
    <row r="4" spans="1:22" x14ac:dyDescent="0.2">
      <c r="A4" s="48" t="s">
        <v>252</v>
      </c>
      <c r="B4" s="49">
        <f t="shared" ref="B4:B20" si="0">$C$24-C4</f>
        <v>0.21180555555555555</v>
      </c>
      <c r="C4" s="49">
        <v>0.20833333333333334</v>
      </c>
      <c r="D4" s="35"/>
      <c r="E4" s="35"/>
      <c r="F4" s="36" t="s">
        <v>253</v>
      </c>
      <c r="G4" s="18"/>
      <c r="H4" s="18"/>
      <c r="I4" s="38" t="s">
        <v>254</v>
      </c>
      <c r="J4" s="37"/>
      <c r="K4" s="37"/>
      <c r="L4" s="37"/>
      <c r="M4" s="37"/>
      <c r="N4" s="38"/>
      <c r="O4" s="38"/>
      <c r="P4" s="38"/>
      <c r="Q4" s="38"/>
      <c r="R4" s="38" t="s">
        <v>256</v>
      </c>
    </row>
    <row r="5" spans="1:22" x14ac:dyDescent="0.2">
      <c r="A5" s="48" t="s">
        <v>252</v>
      </c>
      <c r="B5" s="49">
        <f t="shared" si="0"/>
        <v>0.19097222222222224</v>
      </c>
      <c r="C5" s="49">
        <v>0.22916666666666666</v>
      </c>
      <c r="D5" s="35"/>
      <c r="E5" s="35"/>
      <c r="F5" s="39" t="s">
        <v>257</v>
      </c>
      <c r="G5" s="18"/>
      <c r="H5" s="18"/>
      <c r="I5" s="38" t="s">
        <v>254</v>
      </c>
      <c r="J5" s="37"/>
      <c r="K5" s="37"/>
      <c r="L5" s="37"/>
      <c r="M5" s="37"/>
      <c r="N5" s="38"/>
      <c r="O5" s="38"/>
      <c r="P5" s="38"/>
      <c r="Q5" s="38"/>
      <c r="R5" s="38"/>
    </row>
    <row r="6" spans="1:22" x14ac:dyDescent="0.2">
      <c r="A6" s="48" t="s">
        <v>252</v>
      </c>
      <c r="B6" s="49">
        <f t="shared" si="0"/>
        <v>0.12847222222222221</v>
      </c>
      <c r="C6" s="95">
        <v>0.29166666666666669</v>
      </c>
      <c r="D6" s="35"/>
      <c r="E6" s="35"/>
      <c r="F6" s="18" t="s">
        <v>267</v>
      </c>
      <c r="G6" s="18"/>
      <c r="H6" s="18"/>
      <c r="I6" s="38" t="s">
        <v>254</v>
      </c>
      <c r="J6" s="37"/>
      <c r="K6" s="37"/>
      <c r="L6" s="37"/>
      <c r="M6" s="37"/>
      <c r="N6" s="38"/>
      <c r="O6" s="38"/>
      <c r="P6" s="38"/>
      <c r="Q6" s="38"/>
      <c r="R6" s="38"/>
      <c r="T6" s="4"/>
      <c r="U6" s="4"/>
    </row>
    <row r="7" spans="1:22" x14ac:dyDescent="0.2">
      <c r="A7" s="48" t="s">
        <v>252</v>
      </c>
      <c r="B7" s="49">
        <f t="shared" si="0"/>
        <v>0.19097222222222224</v>
      </c>
      <c r="C7" s="49">
        <v>0.22916666666666666</v>
      </c>
      <c r="D7" s="35"/>
      <c r="E7" s="35"/>
      <c r="F7" s="36" t="s">
        <v>258</v>
      </c>
      <c r="G7" s="18"/>
      <c r="H7" s="18"/>
      <c r="I7" s="38" t="s">
        <v>254</v>
      </c>
      <c r="J7" s="37"/>
      <c r="K7" s="37"/>
      <c r="L7" s="37"/>
      <c r="M7" s="37"/>
      <c r="N7" s="38"/>
      <c r="O7" s="38"/>
      <c r="P7" s="38"/>
      <c r="Q7" s="38"/>
      <c r="R7" s="38" t="s">
        <v>256</v>
      </c>
      <c r="T7" s="4"/>
      <c r="U7" s="4"/>
      <c r="V7" s="6"/>
    </row>
    <row r="8" spans="1:22" x14ac:dyDescent="0.2">
      <c r="A8" s="48" t="s">
        <v>252</v>
      </c>
      <c r="B8" s="49">
        <f t="shared" si="0"/>
        <v>0.16319444444444442</v>
      </c>
      <c r="C8" s="115">
        <v>0.25694444444444448</v>
      </c>
      <c r="D8" s="35"/>
      <c r="E8" s="35"/>
      <c r="F8" s="18" t="s">
        <v>891</v>
      </c>
      <c r="G8" s="18"/>
      <c r="H8" s="18"/>
      <c r="I8" s="38" t="s">
        <v>254</v>
      </c>
      <c r="J8" s="37"/>
      <c r="K8" s="37"/>
      <c r="L8" s="37"/>
      <c r="M8" s="37"/>
      <c r="N8" s="38"/>
      <c r="O8" s="38"/>
      <c r="P8" s="38"/>
      <c r="Q8" s="38"/>
      <c r="R8" s="38" t="s">
        <v>256</v>
      </c>
      <c r="T8" s="4"/>
      <c r="U8" s="4"/>
      <c r="V8" s="6"/>
    </row>
    <row r="9" spans="1:22" x14ac:dyDescent="0.2">
      <c r="A9" s="48" t="s">
        <v>252</v>
      </c>
      <c r="B9" s="49">
        <f t="shared" si="0"/>
        <v>0.14930555555555558</v>
      </c>
      <c r="C9" s="49">
        <v>0.27083333333333331</v>
      </c>
      <c r="D9" s="49">
        <f>E9-C9</f>
        <v>6.25E-2</v>
      </c>
      <c r="E9" s="49">
        <v>0.33333333333333331</v>
      </c>
      <c r="F9" s="84" t="s">
        <v>937</v>
      </c>
      <c r="G9" s="18"/>
      <c r="H9" s="18"/>
      <c r="I9" s="38" t="s">
        <v>254</v>
      </c>
      <c r="J9" s="37"/>
      <c r="K9" s="37"/>
      <c r="L9" s="37"/>
      <c r="M9" s="37"/>
      <c r="N9" s="38"/>
      <c r="O9" s="38"/>
      <c r="P9" s="38"/>
      <c r="Q9" s="38"/>
      <c r="R9" s="38" t="s">
        <v>256</v>
      </c>
      <c r="T9" s="4"/>
      <c r="U9" s="4"/>
    </row>
    <row r="10" spans="1:22" x14ac:dyDescent="0.2">
      <c r="A10" s="48" t="s">
        <v>252</v>
      </c>
      <c r="B10" s="49">
        <f t="shared" si="0"/>
        <v>0.14930555555555558</v>
      </c>
      <c r="C10" s="49">
        <v>0.27083333333333331</v>
      </c>
      <c r="D10" s="35"/>
      <c r="E10" s="35"/>
      <c r="F10" s="18" t="s">
        <v>262</v>
      </c>
      <c r="G10" s="18"/>
      <c r="H10" s="18"/>
      <c r="I10" s="38" t="s">
        <v>254</v>
      </c>
      <c r="J10" s="37"/>
      <c r="K10" s="37"/>
      <c r="L10" s="37"/>
      <c r="M10" s="37"/>
      <c r="N10" s="38"/>
      <c r="O10" s="38"/>
      <c r="P10" s="38"/>
      <c r="Q10" s="38"/>
      <c r="R10" s="38"/>
      <c r="T10" s="4"/>
      <c r="U10" s="4"/>
    </row>
    <row r="11" spans="1:22" x14ac:dyDescent="0.2">
      <c r="A11" s="48" t="s">
        <v>252</v>
      </c>
      <c r="B11" s="49">
        <f t="shared" si="0"/>
        <v>0.12847222222222221</v>
      </c>
      <c r="C11" s="49">
        <v>0.29166666666666669</v>
      </c>
      <c r="D11" s="49">
        <f>E11-C11</f>
        <v>6.25E-2</v>
      </c>
      <c r="E11" s="96">
        <v>0.35416666666666669</v>
      </c>
      <c r="F11" s="18" t="s">
        <v>938</v>
      </c>
      <c r="G11" s="18" t="s">
        <v>266</v>
      </c>
      <c r="H11" s="18"/>
      <c r="I11" s="38" t="s">
        <v>254</v>
      </c>
      <c r="J11" s="37"/>
      <c r="K11" s="37"/>
      <c r="L11" s="37"/>
      <c r="M11" s="37"/>
      <c r="N11" s="38"/>
      <c r="O11" s="38" t="s">
        <v>256</v>
      </c>
      <c r="P11" s="38"/>
      <c r="Q11" s="38"/>
      <c r="R11" s="38" t="s">
        <v>256</v>
      </c>
      <c r="T11" s="4"/>
      <c r="U11" s="4"/>
    </row>
    <row r="12" spans="1:22" x14ac:dyDescent="0.2">
      <c r="A12" s="48" t="s">
        <v>252</v>
      </c>
      <c r="B12" s="49">
        <f t="shared" si="0"/>
        <v>8.680555555555558E-2</v>
      </c>
      <c r="C12" s="96">
        <v>0.33333333333333331</v>
      </c>
      <c r="D12" s="96">
        <f>E12-C12</f>
        <v>0.20833333333333331</v>
      </c>
      <c r="E12" s="96">
        <v>0.54166666666666663</v>
      </c>
      <c r="F12" s="18" t="s">
        <v>892</v>
      </c>
      <c r="G12" s="18"/>
      <c r="H12" s="18"/>
      <c r="I12" s="38" t="s">
        <v>254</v>
      </c>
      <c r="J12" s="37"/>
      <c r="K12" s="37"/>
      <c r="L12" s="37"/>
      <c r="M12" s="37"/>
      <c r="N12" s="38"/>
      <c r="O12" s="38"/>
      <c r="P12" s="38"/>
      <c r="Q12" s="38"/>
      <c r="R12" s="38"/>
      <c r="T12" s="4"/>
      <c r="U12" s="4"/>
    </row>
    <row r="13" spans="1:22" x14ac:dyDescent="0.2">
      <c r="A13" s="48" t="s">
        <v>252</v>
      </c>
      <c r="B13" s="49">
        <f t="shared" si="0"/>
        <v>8.680555555555558E-2</v>
      </c>
      <c r="C13" s="96">
        <v>0.33333333333333331</v>
      </c>
      <c r="D13" s="35"/>
      <c r="E13" s="35"/>
      <c r="F13" s="20" t="s">
        <v>53</v>
      </c>
      <c r="G13" s="18"/>
      <c r="H13" s="18"/>
      <c r="I13" s="38" t="s">
        <v>254</v>
      </c>
      <c r="J13" s="37"/>
      <c r="K13" s="37"/>
      <c r="L13" s="37"/>
      <c r="M13" s="37"/>
      <c r="N13" s="38"/>
      <c r="O13" s="38"/>
      <c r="P13" s="38"/>
      <c r="Q13" s="38"/>
      <c r="R13" s="38"/>
      <c r="T13" s="4"/>
      <c r="U13" s="4"/>
    </row>
    <row r="14" spans="1:22" x14ac:dyDescent="0.2">
      <c r="A14" s="48" t="s">
        <v>252</v>
      </c>
      <c r="B14" s="49">
        <f t="shared" si="0"/>
        <v>6.597222222222221E-2</v>
      </c>
      <c r="C14" s="96">
        <v>0.35416666666666669</v>
      </c>
      <c r="D14" s="96">
        <f>E14-C14</f>
        <v>4.8611111111111049E-2</v>
      </c>
      <c r="E14" s="96">
        <v>0.40277777777777773</v>
      </c>
      <c r="F14" s="18" t="s">
        <v>893</v>
      </c>
      <c r="G14" s="18" t="s">
        <v>266</v>
      </c>
      <c r="H14" s="18"/>
      <c r="I14" s="38" t="s">
        <v>254</v>
      </c>
      <c r="J14" s="37"/>
      <c r="K14" s="37"/>
      <c r="L14" s="37"/>
      <c r="M14" s="37"/>
      <c r="N14" s="38"/>
      <c r="O14" s="38"/>
      <c r="P14" s="38"/>
      <c r="Q14" s="38"/>
      <c r="R14" s="38"/>
      <c r="T14" s="4"/>
      <c r="U14" s="4"/>
    </row>
    <row r="15" spans="1:22" x14ac:dyDescent="0.2">
      <c r="A15" s="48" t="s">
        <v>252</v>
      </c>
      <c r="B15" s="49">
        <f t="shared" si="0"/>
        <v>6.597222222222221E-2</v>
      </c>
      <c r="C15" s="49">
        <v>0.35416666666666669</v>
      </c>
      <c r="D15" s="35"/>
      <c r="E15" s="35"/>
      <c r="F15" s="18" t="s">
        <v>270</v>
      </c>
      <c r="G15" s="18"/>
      <c r="H15" s="18"/>
      <c r="I15" s="38" t="s">
        <v>254</v>
      </c>
      <c r="J15" s="37"/>
      <c r="K15" s="37"/>
      <c r="L15" s="37"/>
      <c r="M15" s="37"/>
      <c r="N15" s="38"/>
      <c r="O15" s="38"/>
      <c r="P15" s="38"/>
      <c r="Q15" s="38"/>
      <c r="R15" s="38" t="s">
        <v>256</v>
      </c>
      <c r="T15" s="4"/>
      <c r="U15" s="4"/>
      <c r="V15" s="6"/>
    </row>
    <row r="16" spans="1:22" x14ac:dyDescent="0.2">
      <c r="A16" s="48" t="s">
        <v>252</v>
      </c>
      <c r="B16" s="49">
        <f t="shared" si="0"/>
        <v>6.597222222222221E-2</v>
      </c>
      <c r="C16" s="49">
        <v>0.35416666666666669</v>
      </c>
      <c r="D16" s="35"/>
      <c r="E16" s="35"/>
      <c r="F16" s="18" t="s">
        <v>366</v>
      </c>
      <c r="G16" s="18"/>
      <c r="H16" s="18"/>
      <c r="I16" s="38" t="s">
        <v>254</v>
      </c>
      <c r="J16" s="37"/>
      <c r="K16" s="37"/>
      <c r="L16" s="37"/>
      <c r="M16" s="37"/>
      <c r="N16" s="38"/>
      <c r="O16" s="38"/>
      <c r="P16" s="38"/>
      <c r="Q16" s="38"/>
      <c r="R16" s="38" t="s">
        <v>256</v>
      </c>
      <c r="T16" s="4"/>
      <c r="U16" s="4"/>
    </row>
    <row r="17" spans="1:22" x14ac:dyDescent="0.2">
      <c r="A17" s="48" t="s">
        <v>252</v>
      </c>
      <c r="B17" s="49">
        <f t="shared" si="0"/>
        <v>6.597222222222221E-2</v>
      </c>
      <c r="C17" s="49">
        <v>0.35416666666666669</v>
      </c>
      <c r="D17" s="35"/>
      <c r="E17" s="35"/>
      <c r="F17" s="18" t="s">
        <v>55</v>
      </c>
      <c r="G17" s="18"/>
      <c r="H17" s="18"/>
      <c r="I17" s="38" t="s">
        <v>254</v>
      </c>
      <c r="J17" s="37"/>
      <c r="K17" s="37"/>
      <c r="L17" s="37"/>
      <c r="M17" s="37"/>
      <c r="N17" s="38"/>
      <c r="O17" s="38" t="s">
        <v>256</v>
      </c>
      <c r="P17" s="38"/>
      <c r="Q17" s="38" t="s">
        <v>256</v>
      </c>
      <c r="R17" s="38" t="s">
        <v>256</v>
      </c>
      <c r="T17" s="4"/>
      <c r="U17" s="4"/>
    </row>
    <row r="18" spans="1:22" x14ac:dyDescent="0.2">
      <c r="A18" s="48" t="s">
        <v>252</v>
      </c>
      <c r="B18" s="49">
        <f t="shared" si="0"/>
        <v>4.5138888888888895E-2</v>
      </c>
      <c r="C18" s="49">
        <v>0.375</v>
      </c>
      <c r="D18" s="35"/>
      <c r="E18" s="35"/>
      <c r="F18" s="18" t="s">
        <v>52</v>
      </c>
      <c r="G18" s="18"/>
      <c r="H18" s="18"/>
      <c r="I18" s="38" t="s">
        <v>254</v>
      </c>
      <c r="J18" s="37"/>
      <c r="K18" s="37"/>
      <c r="L18" s="37"/>
      <c r="M18" s="37"/>
      <c r="N18" s="38"/>
      <c r="O18" s="38"/>
      <c r="P18" s="38"/>
      <c r="Q18" s="38"/>
      <c r="R18" s="38"/>
      <c r="T18" s="4"/>
      <c r="U18" s="4"/>
    </row>
    <row r="19" spans="1:22" x14ac:dyDescent="0.2">
      <c r="A19" s="48" t="s">
        <v>252</v>
      </c>
      <c r="B19" s="49">
        <f t="shared" si="0"/>
        <v>1.736111111111116E-2</v>
      </c>
      <c r="C19" s="49">
        <v>0.40277777777777773</v>
      </c>
      <c r="D19" s="35"/>
      <c r="E19" s="35"/>
      <c r="F19" s="18" t="s">
        <v>273</v>
      </c>
      <c r="G19" s="18" t="s">
        <v>266</v>
      </c>
      <c r="H19" s="18"/>
      <c r="I19" s="38" t="s">
        <v>254</v>
      </c>
      <c r="J19" s="37"/>
      <c r="K19" s="37"/>
      <c r="L19" s="37"/>
      <c r="M19" s="37"/>
      <c r="N19" s="38"/>
      <c r="O19" s="38" t="s">
        <v>256</v>
      </c>
      <c r="P19" s="38" t="s">
        <v>256</v>
      </c>
      <c r="Q19" s="38" t="s">
        <v>256</v>
      </c>
      <c r="R19" s="38" t="s">
        <v>256</v>
      </c>
      <c r="T19" s="4"/>
      <c r="U19" s="4"/>
    </row>
    <row r="20" spans="1:22" x14ac:dyDescent="0.2">
      <c r="A20" s="48" t="s">
        <v>252</v>
      </c>
      <c r="B20" s="49">
        <f t="shared" si="0"/>
        <v>1.3888888888888895E-2</v>
      </c>
      <c r="C20" s="49">
        <v>0.40625</v>
      </c>
      <c r="D20" s="35"/>
      <c r="E20" s="35"/>
      <c r="F20" s="18" t="s">
        <v>56</v>
      </c>
      <c r="G20" s="18"/>
      <c r="H20" s="18"/>
      <c r="I20" s="38" t="s">
        <v>254</v>
      </c>
      <c r="J20" s="37"/>
      <c r="K20" s="37"/>
      <c r="L20" s="37"/>
      <c r="M20" s="37"/>
      <c r="N20" s="38"/>
      <c r="O20" s="38" t="s">
        <v>256</v>
      </c>
      <c r="P20" s="38" t="s">
        <v>256</v>
      </c>
      <c r="Q20" s="38" t="s">
        <v>256</v>
      </c>
      <c r="R20" s="38" t="s">
        <v>256</v>
      </c>
      <c r="T20" s="4"/>
      <c r="U20" s="4"/>
    </row>
    <row r="21" spans="1:22" s="1" customFormat="1" x14ac:dyDescent="0.2">
      <c r="A21" s="75" t="s">
        <v>252</v>
      </c>
      <c r="B21" s="77">
        <f t="shared" ref="B21:B23" si="1">$C$24-C21</f>
        <v>3.4722222222222099E-3</v>
      </c>
      <c r="C21" s="77">
        <v>0.41666666666666669</v>
      </c>
      <c r="D21" s="76"/>
      <c r="E21" s="76"/>
      <c r="F21" s="31" t="s">
        <v>57</v>
      </c>
      <c r="G21" s="76"/>
      <c r="H21" s="76"/>
      <c r="I21" s="75" t="s">
        <v>254</v>
      </c>
      <c r="J21" s="76"/>
      <c r="K21" s="76"/>
      <c r="L21" s="108">
        <f t="shared" ref="L21:L44" si="2">C21</f>
        <v>0.41666666666666669</v>
      </c>
      <c r="M21" s="108"/>
      <c r="N21" s="75"/>
      <c r="O21" s="75" t="s">
        <v>256</v>
      </c>
      <c r="P21" s="75" t="s">
        <v>256</v>
      </c>
      <c r="Q21" s="75" t="s">
        <v>256</v>
      </c>
      <c r="R21" s="75" t="s">
        <v>256</v>
      </c>
      <c r="T21" s="73"/>
      <c r="U21" s="73"/>
      <c r="V21" s="74"/>
    </row>
    <row r="22" spans="1:22" x14ac:dyDescent="0.2">
      <c r="A22" s="48" t="s">
        <v>252</v>
      </c>
      <c r="B22" s="49">
        <f t="shared" si="1"/>
        <v>3.4722222222222099E-3</v>
      </c>
      <c r="C22" s="49">
        <v>0.41666666666666669</v>
      </c>
      <c r="D22" s="49">
        <v>2.0833333333333333E-3</v>
      </c>
      <c r="E22" s="49">
        <f>C22+D22</f>
        <v>0.41875000000000001</v>
      </c>
      <c r="F22" s="20" t="s">
        <v>894</v>
      </c>
      <c r="G22" s="18" t="s">
        <v>266</v>
      </c>
      <c r="H22" s="18"/>
      <c r="I22" s="38" t="s">
        <v>254</v>
      </c>
      <c r="J22" s="18" t="s">
        <v>981</v>
      </c>
      <c r="K22" s="37"/>
      <c r="L22" s="105">
        <f t="shared" si="2"/>
        <v>0.41666666666666669</v>
      </c>
      <c r="M22" s="105">
        <f t="shared" ref="M22:M43" si="3">E22</f>
        <v>0.41875000000000001</v>
      </c>
      <c r="N22" s="38"/>
      <c r="O22" s="38" t="s">
        <v>256</v>
      </c>
      <c r="P22" s="38" t="s">
        <v>256</v>
      </c>
      <c r="Q22" s="38" t="s">
        <v>256</v>
      </c>
      <c r="R22" s="38"/>
      <c r="T22" s="4"/>
      <c r="U22" s="4"/>
    </row>
    <row r="23" spans="1:22" x14ac:dyDescent="0.2">
      <c r="A23" s="48" t="s">
        <v>252</v>
      </c>
      <c r="B23" s="49">
        <f t="shared" si="1"/>
        <v>1.388888888888884E-3</v>
      </c>
      <c r="C23" s="49">
        <f>E22</f>
        <v>0.41875000000000001</v>
      </c>
      <c r="D23" s="49">
        <v>1.3888888888888889E-3</v>
      </c>
      <c r="E23" s="49">
        <f>C23+D23</f>
        <v>0.4201388888888889</v>
      </c>
      <c r="F23" s="18" t="s">
        <v>59</v>
      </c>
      <c r="G23" s="18" t="s">
        <v>266</v>
      </c>
      <c r="H23" s="18"/>
      <c r="I23" s="38" t="s">
        <v>254</v>
      </c>
      <c r="J23" s="18" t="s">
        <v>981</v>
      </c>
      <c r="K23" s="37"/>
      <c r="L23" s="105">
        <f t="shared" si="2"/>
        <v>0.41875000000000001</v>
      </c>
      <c r="M23" s="105">
        <f t="shared" si="3"/>
        <v>0.4201388888888889</v>
      </c>
      <c r="N23" s="38"/>
      <c r="O23" s="38" t="s">
        <v>256</v>
      </c>
      <c r="P23" s="38" t="s">
        <v>256</v>
      </c>
      <c r="Q23" s="38" t="s">
        <v>256</v>
      </c>
      <c r="R23" s="38"/>
      <c r="T23" s="4"/>
      <c r="U23" s="4"/>
    </row>
    <row r="24" spans="1:22" s="1" customFormat="1" x14ac:dyDescent="0.2">
      <c r="A24" s="70"/>
      <c r="B24" s="72">
        <v>0</v>
      </c>
      <c r="C24" s="72">
        <f>E23</f>
        <v>0.4201388888888889</v>
      </c>
      <c r="D24" s="71"/>
      <c r="E24" s="71"/>
      <c r="F24" s="32" t="s">
        <v>60</v>
      </c>
      <c r="G24" s="71"/>
      <c r="H24" s="71"/>
      <c r="I24" s="70" t="s">
        <v>254</v>
      </c>
      <c r="J24" s="71" t="s">
        <v>981</v>
      </c>
      <c r="K24" s="71"/>
      <c r="L24" s="114">
        <f t="shared" si="2"/>
        <v>0.4201388888888889</v>
      </c>
      <c r="M24" s="114"/>
      <c r="N24" s="70"/>
      <c r="O24" s="70" t="s">
        <v>256</v>
      </c>
      <c r="P24" s="70" t="s">
        <v>256</v>
      </c>
      <c r="Q24" s="70" t="s">
        <v>256</v>
      </c>
      <c r="R24" s="70" t="s">
        <v>256</v>
      </c>
      <c r="T24" s="73"/>
      <c r="U24" s="73"/>
      <c r="V24" s="74"/>
    </row>
    <row r="25" spans="1:22" x14ac:dyDescent="0.2">
      <c r="A25" s="48" t="s">
        <v>279</v>
      </c>
      <c r="B25" s="49">
        <f>C25-$C$24</f>
        <v>0</v>
      </c>
      <c r="C25" s="96">
        <f>C24</f>
        <v>0.4201388888888889</v>
      </c>
      <c r="D25" s="96">
        <f>SUM(D26:D31)</f>
        <v>5.3124999999999992E-2</v>
      </c>
      <c r="E25" s="96">
        <f>C25+D25</f>
        <v>0.47326388888888887</v>
      </c>
      <c r="F25" s="18" t="s">
        <v>982</v>
      </c>
      <c r="G25" s="18" t="s">
        <v>266</v>
      </c>
      <c r="H25" s="18"/>
      <c r="I25" s="38" t="s">
        <v>254</v>
      </c>
      <c r="J25" s="18" t="s">
        <v>981</v>
      </c>
      <c r="K25" s="91" t="s">
        <v>983</v>
      </c>
      <c r="L25" s="105">
        <f t="shared" si="2"/>
        <v>0.4201388888888889</v>
      </c>
      <c r="M25" s="105">
        <f t="shared" si="3"/>
        <v>0.47326388888888887</v>
      </c>
      <c r="N25" s="38"/>
      <c r="O25" s="38" t="s">
        <v>256</v>
      </c>
      <c r="P25" s="38" t="s">
        <v>256</v>
      </c>
      <c r="Q25" s="38" t="s">
        <v>256</v>
      </c>
      <c r="R25" s="38"/>
      <c r="T25" s="4"/>
      <c r="U25" s="4"/>
    </row>
    <row r="26" spans="1:22" x14ac:dyDescent="0.2">
      <c r="A26" s="48" t="s">
        <v>279</v>
      </c>
      <c r="B26" s="49">
        <f t="shared" ref="B26:B44" si="4">C26-$C$24</f>
        <v>0</v>
      </c>
      <c r="C26" s="96">
        <f>C24</f>
        <v>0.4201388888888889</v>
      </c>
      <c r="D26" s="96">
        <v>8.8541666666666664E-3</v>
      </c>
      <c r="E26" s="96">
        <f t="shared" ref="E26:E40" si="5">C26+D26</f>
        <v>0.42899305555555556</v>
      </c>
      <c r="F26" s="18" t="s">
        <v>984</v>
      </c>
      <c r="G26" s="18" t="s">
        <v>266</v>
      </c>
      <c r="H26" s="18"/>
      <c r="I26" s="38" t="s">
        <v>254</v>
      </c>
      <c r="J26" s="18" t="s">
        <v>981</v>
      </c>
      <c r="K26" s="91"/>
      <c r="L26" s="105">
        <f t="shared" si="2"/>
        <v>0.4201388888888889</v>
      </c>
      <c r="M26" s="105">
        <f t="shared" si="3"/>
        <v>0.42899305555555556</v>
      </c>
      <c r="N26" s="38" t="s">
        <v>255</v>
      </c>
      <c r="O26" s="38" t="s">
        <v>256</v>
      </c>
      <c r="P26" s="38" t="s">
        <v>256</v>
      </c>
      <c r="Q26" s="38" t="s">
        <v>256</v>
      </c>
      <c r="R26" s="38"/>
      <c r="T26" s="4"/>
      <c r="U26" s="4"/>
    </row>
    <row r="27" spans="1:22" x14ac:dyDescent="0.2">
      <c r="A27" s="48" t="s">
        <v>279</v>
      </c>
      <c r="B27" s="49">
        <f t="shared" si="4"/>
        <v>8.854166666666663E-3</v>
      </c>
      <c r="C27" s="96">
        <f>E26</f>
        <v>0.42899305555555556</v>
      </c>
      <c r="D27" s="96">
        <v>8.8541666666666664E-3</v>
      </c>
      <c r="E27" s="96">
        <f t="shared" si="5"/>
        <v>0.43784722222222222</v>
      </c>
      <c r="F27" s="18" t="s">
        <v>985</v>
      </c>
      <c r="G27" s="18" t="s">
        <v>266</v>
      </c>
      <c r="H27" s="18"/>
      <c r="I27" s="38" t="s">
        <v>254</v>
      </c>
      <c r="J27" s="18" t="s">
        <v>981</v>
      </c>
      <c r="K27" s="91"/>
      <c r="L27" s="105">
        <f t="shared" si="2"/>
        <v>0.42899305555555556</v>
      </c>
      <c r="M27" s="105">
        <f t="shared" si="3"/>
        <v>0.43784722222222222</v>
      </c>
      <c r="N27" s="38" t="s">
        <v>255</v>
      </c>
      <c r="O27" s="38" t="s">
        <v>256</v>
      </c>
      <c r="P27" s="38" t="s">
        <v>256</v>
      </c>
      <c r="Q27" s="38" t="s">
        <v>256</v>
      </c>
      <c r="R27" s="38"/>
      <c r="T27" s="4"/>
      <c r="U27" s="4"/>
    </row>
    <row r="28" spans="1:22" x14ac:dyDescent="0.2">
      <c r="A28" s="48" t="s">
        <v>279</v>
      </c>
      <c r="B28" s="49">
        <f t="shared" si="4"/>
        <v>1.7708333333333326E-2</v>
      </c>
      <c r="C28" s="96">
        <f t="shared" ref="C28:C43" si="6">E27</f>
        <v>0.43784722222222222</v>
      </c>
      <c r="D28" s="96">
        <v>8.8541666666666664E-3</v>
      </c>
      <c r="E28" s="96">
        <f t="shared" si="5"/>
        <v>0.44670138888888888</v>
      </c>
      <c r="F28" s="18" t="s">
        <v>986</v>
      </c>
      <c r="G28" s="18" t="s">
        <v>266</v>
      </c>
      <c r="H28" s="18"/>
      <c r="I28" s="38" t="s">
        <v>254</v>
      </c>
      <c r="J28" s="18" t="s">
        <v>981</v>
      </c>
      <c r="K28" s="91"/>
      <c r="L28" s="105">
        <f t="shared" si="2"/>
        <v>0.43784722222222222</v>
      </c>
      <c r="M28" s="105">
        <f t="shared" si="3"/>
        <v>0.44670138888888888</v>
      </c>
      <c r="N28" s="38" t="s">
        <v>255</v>
      </c>
      <c r="O28" s="38" t="s">
        <v>256</v>
      </c>
      <c r="P28" s="38" t="s">
        <v>256</v>
      </c>
      <c r="Q28" s="38" t="s">
        <v>256</v>
      </c>
      <c r="R28" s="38"/>
      <c r="T28" s="4"/>
      <c r="U28" s="4"/>
    </row>
    <row r="29" spans="1:22" x14ac:dyDescent="0.2">
      <c r="A29" s="48" t="s">
        <v>279</v>
      </c>
      <c r="B29" s="49">
        <f t="shared" si="4"/>
        <v>2.6562499999999989E-2</v>
      </c>
      <c r="C29" s="96">
        <f t="shared" si="6"/>
        <v>0.44670138888888888</v>
      </c>
      <c r="D29" s="96">
        <v>8.8541666666666664E-3</v>
      </c>
      <c r="E29" s="96">
        <f t="shared" si="5"/>
        <v>0.45555555555555555</v>
      </c>
      <c r="F29" s="18" t="s">
        <v>987</v>
      </c>
      <c r="G29" s="18" t="s">
        <v>266</v>
      </c>
      <c r="H29" s="18"/>
      <c r="I29" s="38" t="s">
        <v>254</v>
      </c>
      <c r="J29" s="18" t="s">
        <v>981</v>
      </c>
      <c r="K29" s="91"/>
      <c r="L29" s="105">
        <f t="shared" si="2"/>
        <v>0.44670138888888888</v>
      </c>
      <c r="M29" s="105">
        <f t="shared" si="3"/>
        <v>0.45555555555555555</v>
      </c>
      <c r="N29" s="38" t="s">
        <v>255</v>
      </c>
      <c r="O29" s="38" t="s">
        <v>256</v>
      </c>
      <c r="P29" s="38" t="s">
        <v>256</v>
      </c>
      <c r="Q29" s="38" t="s">
        <v>256</v>
      </c>
      <c r="R29" s="38"/>
      <c r="T29" s="4"/>
      <c r="U29" s="4"/>
    </row>
    <row r="30" spans="1:22" x14ac:dyDescent="0.2">
      <c r="A30" s="48" t="s">
        <v>279</v>
      </c>
      <c r="B30" s="49">
        <f t="shared" si="4"/>
        <v>3.5416666666666652E-2</v>
      </c>
      <c r="C30" s="96">
        <f t="shared" si="6"/>
        <v>0.45555555555555555</v>
      </c>
      <c r="D30" s="96">
        <v>8.8541666666666664E-3</v>
      </c>
      <c r="E30" s="96">
        <f t="shared" si="5"/>
        <v>0.46440972222222221</v>
      </c>
      <c r="F30" s="18" t="s">
        <v>988</v>
      </c>
      <c r="G30" s="18" t="s">
        <v>266</v>
      </c>
      <c r="H30" s="18"/>
      <c r="I30" s="38" t="s">
        <v>254</v>
      </c>
      <c r="J30" s="18" t="s">
        <v>981</v>
      </c>
      <c r="K30" s="91"/>
      <c r="L30" s="105">
        <f t="shared" si="2"/>
        <v>0.45555555555555555</v>
      </c>
      <c r="M30" s="105">
        <f t="shared" si="3"/>
        <v>0.46440972222222221</v>
      </c>
      <c r="N30" s="38" t="s">
        <v>255</v>
      </c>
      <c r="O30" s="38" t="s">
        <v>256</v>
      </c>
      <c r="P30" s="38" t="s">
        <v>256</v>
      </c>
      <c r="Q30" s="38" t="s">
        <v>256</v>
      </c>
      <c r="R30" s="38"/>
      <c r="T30" s="4"/>
      <c r="U30" s="4"/>
    </row>
    <row r="31" spans="1:22" x14ac:dyDescent="0.2">
      <c r="A31" s="48" t="s">
        <v>279</v>
      </c>
      <c r="B31" s="49">
        <f t="shared" si="4"/>
        <v>4.4270833333333315E-2</v>
      </c>
      <c r="C31" s="96">
        <f t="shared" si="6"/>
        <v>0.46440972222222221</v>
      </c>
      <c r="D31" s="96">
        <v>8.8541666666666664E-3</v>
      </c>
      <c r="E31" s="96">
        <f t="shared" si="5"/>
        <v>0.47326388888888887</v>
      </c>
      <c r="F31" s="18" t="s">
        <v>989</v>
      </c>
      <c r="G31" s="18" t="s">
        <v>266</v>
      </c>
      <c r="H31" s="18"/>
      <c r="I31" s="38" t="s">
        <v>254</v>
      </c>
      <c r="J31" s="18" t="s">
        <v>981</v>
      </c>
      <c r="K31" s="91"/>
      <c r="L31" s="105">
        <f t="shared" si="2"/>
        <v>0.46440972222222221</v>
      </c>
      <c r="M31" s="105">
        <f t="shared" si="3"/>
        <v>0.47326388888888887</v>
      </c>
      <c r="N31" s="38" t="s">
        <v>255</v>
      </c>
      <c r="O31" s="38" t="s">
        <v>256</v>
      </c>
      <c r="P31" s="38" t="s">
        <v>256</v>
      </c>
      <c r="Q31" s="38" t="s">
        <v>256</v>
      </c>
      <c r="R31" s="38"/>
      <c r="T31" s="4"/>
      <c r="U31" s="4"/>
    </row>
    <row r="32" spans="1:22" x14ac:dyDescent="0.2">
      <c r="A32" s="48" t="s">
        <v>279</v>
      </c>
      <c r="B32" s="49">
        <f t="shared" si="4"/>
        <v>5.3124999999999978E-2</v>
      </c>
      <c r="C32" s="96">
        <f t="shared" si="6"/>
        <v>0.47326388888888887</v>
      </c>
      <c r="D32" s="96">
        <v>6.9444444444444441E-3</v>
      </c>
      <c r="E32" s="96">
        <f t="shared" si="5"/>
        <v>0.48020833333333329</v>
      </c>
      <c r="F32" s="18" t="s">
        <v>990</v>
      </c>
      <c r="G32" s="18" t="s">
        <v>266</v>
      </c>
      <c r="H32" s="18"/>
      <c r="I32" s="38" t="s">
        <v>254</v>
      </c>
      <c r="J32" s="18" t="s">
        <v>981</v>
      </c>
      <c r="K32" s="90"/>
      <c r="L32" s="105">
        <f t="shared" si="2"/>
        <v>0.47326388888888887</v>
      </c>
      <c r="M32" s="105">
        <f t="shared" si="3"/>
        <v>0.48020833333333329</v>
      </c>
      <c r="N32" s="38" t="s">
        <v>255</v>
      </c>
      <c r="O32" s="38" t="s">
        <v>256</v>
      </c>
      <c r="P32" s="38"/>
      <c r="Q32" s="38" t="s">
        <v>256</v>
      </c>
      <c r="R32" s="38"/>
      <c r="T32" s="4"/>
      <c r="U32" s="4"/>
    </row>
    <row r="33" spans="1:22" x14ac:dyDescent="0.2">
      <c r="A33" s="48" t="s">
        <v>279</v>
      </c>
      <c r="B33" s="49">
        <f t="shared" si="4"/>
        <v>6.0069444444444398E-2</v>
      </c>
      <c r="C33" s="96">
        <f t="shared" si="6"/>
        <v>0.48020833333333329</v>
      </c>
      <c r="D33" s="96">
        <v>6.9444444444444441E-3</v>
      </c>
      <c r="E33" s="96">
        <f t="shared" si="5"/>
        <v>0.48715277777777771</v>
      </c>
      <c r="F33" s="18" t="s">
        <v>905</v>
      </c>
      <c r="G33" s="18" t="s">
        <v>266</v>
      </c>
      <c r="H33" s="18"/>
      <c r="I33" s="38" t="s">
        <v>254</v>
      </c>
      <c r="J33" s="18" t="s">
        <v>981</v>
      </c>
      <c r="K33" s="90"/>
      <c r="L33" s="105">
        <f t="shared" si="2"/>
        <v>0.48020833333333329</v>
      </c>
      <c r="M33" s="105">
        <f t="shared" si="3"/>
        <v>0.48715277777777771</v>
      </c>
      <c r="N33" s="38" t="s">
        <v>255</v>
      </c>
      <c r="O33" s="38" t="s">
        <v>256</v>
      </c>
      <c r="P33" s="38"/>
      <c r="Q33" s="38" t="s">
        <v>256</v>
      </c>
      <c r="R33" s="38"/>
      <c r="T33" s="4"/>
      <c r="U33" s="4"/>
    </row>
    <row r="34" spans="1:22" x14ac:dyDescent="0.2">
      <c r="A34" s="48" t="s">
        <v>279</v>
      </c>
      <c r="B34" s="49">
        <f t="shared" si="4"/>
        <v>6.7013888888888817E-2</v>
      </c>
      <c r="C34" s="96">
        <f t="shared" si="6"/>
        <v>0.48715277777777771</v>
      </c>
      <c r="D34" s="96">
        <v>2.0833333333333333E-3</v>
      </c>
      <c r="E34" s="96">
        <f t="shared" si="5"/>
        <v>0.48923611111111104</v>
      </c>
      <c r="F34" s="18" t="s">
        <v>894</v>
      </c>
      <c r="G34" s="18" t="s">
        <v>266</v>
      </c>
      <c r="H34" s="18"/>
      <c r="I34" s="38" t="s">
        <v>254</v>
      </c>
      <c r="J34" s="18" t="s">
        <v>981</v>
      </c>
      <c r="K34" s="90"/>
      <c r="L34" s="105">
        <f t="shared" si="2"/>
        <v>0.48715277777777771</v>
      </c>
      <c r="M34" s="105">
        <f t="shared" si="3"/>
        <v>0.48923611111111104</v>
      </c>
      <c r="N34" s="38" t="s">
        <v>255</v>
      </c>
      <c r="O34" s="38" t="s">
        <v>256</v>
      </c>
      <c r="P34" s="38"/>
      <c r="Q34" s="38" t="s">
        <v>256</v>
      </c>
      <c r="R34" s="38"/>
      <c r="T34" s="4"/>
      <c r="U34" s="4"/>
    </row>
    <row r="35" spans="1:22" x14ac:dyDescent="0.2">
      <c r="A35" s="48" t="s">
        <v>279</v>
      </c>
      <c r="B35" s="49">
        <f t="shared" si="4"/>
        <v>6.9097222222222143E-2</v>
      </c>
      <c r="C35" s="96">
        <f t="shared" si="6"/>
        <v>0.48923611111111104</v>
      </c>
      <c r="D35" s="96">
        <v>1.3888888888888889E-3</v>
      </c>
      <c r="E35" s="96">
        <f t="shared" si="5"/>
        <v>0.49062499999999992</v>
      </c>
      <c r="F35" s="69" t="s">
        <v>59</v>
      </c>
      <c r="G35" s="18" t="s">
        <v>266</v>
      </c>
      <c r="H35" s="18"/>
      <c r="I35" s="38" t="s">
        <v>254</v>
      </c>
      <c r="J35" s="18" t="s">
        <v>981</v>
      </c>
      <c r="K35" s="90"/>
      <c r="L35" s="105">
        <f t="shared" si="2"/>
        <v>0.48923611111111104</v>
      </c>
      <c r="M35" s="105">
        <f t="shared" si="3"/>
        <v>0.49062499999999992</v>
      </c>
      <c r="N35" s="38" t="s">
        <v>255</v>
      </c>
      <c r="O35" s="38" t="s">
        <v>256</v>
      </c>
      <c r="P35" s="38"/>
      <c r="Q35" s="38" t="s">
        <v>256</v>
      </c>
      <c r="R35" s="38"/>
      <c r="T35" s="4"/>
      <c r="U35" s="4"/>
    </row>
    <row r="36" spans="1:22" x14ac:dyDescent="0.2">
      <c r="A36" s="48" t="s">
        <v>279</v>
      </c>
      <c r="B36" s="49">
        <f t="shared" si="4"/>
        <v>7.0486111111111027E-2</v>
      </c>
      <c r="C36" s="96">
        <f t="shared" si="6"/>
        <v>0.49062499999999992</v>
      </c>
      <c r="D36" s="96">
        <f>SUM(D37:D41)</f>
        <v>1.8518518518518517E-2</v>
      </c>
      <c r="E36" s="96">
        <f t="shared" si="5"/>
        <v>0.50914351851851847</v>
      </c>
      <c r="F36" s="18" t="s">
        <v>991</v>
      </c>
      <c r="G36" s="18" t="s">
        <v>266</v>
      </c>
      <c r="H36" s="18"/>
      <c r="I36" s="38" t="s">
        <v>254</v>
      </c>
      <c r="J36" s="18" t="s">
        <v>981</v>
      </c>
      <c r="K36" s="90"/>
      <c r="L36" s="105">
        <f t="shared" si="2"/>
        <v>0.49062499999999992</v>
      </c>
      <c r="M36" s="105">
        <f t="shared" si="3"/>
        <v>0.50914351851851847</v>
      </c>
      <c r="N36" s="38" t="s">
        <v>255</v>
      </c>
      <c r="O36" s="38" t="s">
        <v>256</v>
      </c>
      <c r="P36" s="38"/>
      <c r="Q36" s="38" t="s">
        <v>256</v>
      </c>
      <c r="R36" s="38"/>
      <c r="T36" s="4"/>
      <c r="U36" s="4"/>
    </row>
    <row r="37" spans="1:22" x14ac:dyDescent="0.2">
      <c r="A37" s="48" t="s">
        <v>279</v>
      </c>
      <c r="B37" s="49">
        <f t="shared" si="4"/>
        <v>7.0486111111111027E-2</v>
      </c>
      <c r="C37" s="96">
        <f>C36</f>
        <v>0.49062499999999992</v>
      </c>
      <c r="D37" s="96">
        <v>3.7037037037037034E-3</v>
      </c>
      <c r="E37" s="96">
        <f t="shared" si="5"/>
        <v>0.49432870370370363</v>
      </c>
      <c r="F37" s="18" t="s">
        <v>992</v>
      </c>
      <c r="G37" s="18" t="s">
        <v>266</v>
      </c>
      <c r="H37" s="18"/>
      <c r="I37" s="38" t="s">
        <v>254</v>
      </c>
      <c r="J37" s="18" t="s">
        <v>981</v>
      </c>
      <c r="K37" s="91" t="s">
        <v>993</v>
      </c>
      <c r="L37" s="105">
        <f t="shared" si="2"/>
        <v>0.49062499999999992</v>
      </c>
      <c r="M37" s="105">
        <f t="shared" si="3"/>
        <v>0.49432870370370363</v>
      </c>
      <c r="N37" s="38"/>
      <c r="O37" s="38" t="s">
        <v>256</v>
      </c>
      <c r="P37" s="38" t="s">
        <v>256</v>
      </c>
      <c r="Q37" s="38" t="s">
        <v>256</v>
      </c>
      <c r="R37" s="38"/>
      <c r="T37" s="4"/>
      <c r="U37" s="4"/>
    </row>
    <row r="38" spans="1:22" x14ac:dyDescent="0.2">
      <c r="A38" s="48" t="s">
        <v>279</v>
      </c>
      <c r="B38" s="49">
        <f t="shared" si="4"/>
        <v>7.4189814814814736E-2</v>
      </c>
      <c r="C38" s="96">
        <f t="shared" si="6"/>
        <v>0.49432870370370363</v>
      </c>
      <c r="D38" s="96">
        <v>3.7037037037037034E-3</v>
      </c>
      <c r="E38" s="96">
        <f t="shared" si="5"/>
        <v>0.49803240740740734</v>
      </c>
      <c r="F38" s="18" t="s">
        <v>994</v>
      </c>
      <c r="G38" s="18" t="s">
        <v>266</v>
      </c>
      <c r="H38" s="18"/>
      <c r="I38" s="38" t="s">
        <v>254</v>
      </c>
      <c r="J38" s="18" t="s">
        <v>981</v>
      </c>
      <c r="K38" s="91"/>
      <c r="L38" s="105">
        <f t="shared" si="2"/>
        <v>0.49432870370370363</v>
      </c>
      <c r="M38" s="105">
        <f t="shared" si="3"/>
        <v>0.49803240740740734</v>
      </c>
      <c r="N38" s="38" t="s">
        <v>255</v>
      </c>
      <c r="O38" s="38" t="s">
        <v>256</v>
      </c>
      <c r="P38" s="38" t="s">
        <v>256</v>
      </c>
      <c r="Q38" s="38" t="s">
        <v>256</v>
      </c>
      <c r="R38" s="38"/>
      <c r="T38" s="4"/>
      <c r="U38" s="4"/>
    </row>
    <row r="39" spans="1:22" x14ac:dyDescent="0.2">
      <c r="A39" s="48" t="s">
        <v>279</v>
      </c>
      <c r="B39" s="49">
        <f t="shared" si="4"/>
        <v>7.7893518518518445E-2</v>
      </c>
      <c r="C39" s="96">
        <f t="shared" si="6"/>
        <v>0.49803240740740734</v>
      </c>
      <c r="D39" s="96">
        <v>3.7037037037037034E-3</v>
      </c>
      <c r="E39" s="96">
        <f t="shared" si="5"/>
        <v>0.50173611111111105</v>
      </c>
      <c r="F39" s="18" t="s">
        <v>995</v>
      </c>
      <c r="G39" s="18" t="s">
        <v>266</v>
      </c>
      <c r="H39" s="18"/>
      <c r="I39" s="38" t="s">
        <v>254</v>
      </c>
      <c r="J39" s="18" t="s">
        <v>981</v>
      </c>
      <c r="K39" s="91"/>
      <c r="L39" s="105">
        <f t="shared" si="2"/>
        <v>0.49803240740740734</v>
      </c>
      <c r="M39" s="105">
        <f t="shared" si="3"/>
        <v>0.50173611111111105</v>
      </c>
      <c r="N39" s="38" t="s">
        <v>255</v>
      </c>
      <c r="O39" s="38" t="s">
        <v>256</v>
      </c>
      <c r="P39" s="38" t="s">
        <v>256</v>
      </c>
      <c r="Q39" s="38" t="s">
        <v>256</v>
      </c>
      <c r="R39" s="38"/>
      <c r="T39" s="4"/>
      <c r="U39" s="4"/>
    </row>
    <row r="40" spans="1:22" x14ac:dyDescent="0.2">
      <c r="A40" s="48" t="s">
        <v>279</v>
      </c>
      <c r="B40" s="49">
        <f t="shared" si="4"/>
        <v>8.1597222222222154E-2</v>
      </c>
      <c r="C40" s="96">
        <f t="shared" si="6"/>
        <v>0.50173611111111105</v>
      </c>
      <c r="D40" s="96">
        <v>3.7037037037037034E-3</v>
      </c>
      <c r="E40" s="96">
        <f t="shared" si="5"/>
        <v>0.5054398148148147</v>
      </c>
      <c r="F40" s="18" t="s">
        <v>996</v>
      </c>
      <c r="G40" s="18" t="s">
        <v>266</v>
      </c>
      <c r="H40" s="18"/>
      <c r="I40" s="38" t="s">
        <v>254</v>
      </c>
      <c r="J40" s="18" t="s">
        <v>981</v>
      </c>
      <c r="K40" s="91"/>
      <c r="L40" s="105">
        <f t="shared" si="2"/>
        <v>0.50173611111111105</v>
      </c>
      <c r="M40" s="105">
        <f t="shared" si="3"/>
        <v>0.5054398148148147</v>
      </c>
      <c r="N40" s="38" t="s">
        <v>255</v>
      </c>
      <c r="O40" s="38" t="s">
        <v>256</v>
      </c>
      <c r="P40" s="38" t="s">
        <v>256</v>
      </c>
      <c r="Q40" s="38" t="s">
        <v>256</v>
      </c>
      <c r="R40" s="38"/>
      <c r="T40" s="4"/>
      <c r="U40" s="4"/>
    </row>
    <row r="41" spans="1:22" x14ac:dyDescent="0.2">
      <c r="A41" s="48" t="s">
        <v>279</v>
      </c>
      <c r="B41" s="49">
        <f t="shared" si="4"/>
        <v>8.5300925925925808E-2</v>
      </c>
      <c r="C41" s="96">
        <f t="shared" si="6"/>
        <v>0.5054398148148147</v>
      </c>
      <c r="D41" s="96">
        <v>3.7037037037037034E-3</v>
      </c>
      <c r="E41" s="96">
        <f>C41+D41</f>
        <v>0.50914351851851836</v>
      </c>
      <c r="F41" s="18" t="s">
        <v>997</v>
      </c>
      <c r="G41" s="18" t="s">
        <v>266</v>
      </c>
      <c r="H41" s="18"/>
      <c r="I41" s="38" t="s">
        <v>254</v>
      </c>
      <c r="J41" s="18" t="s">
        <v>981</v>
      </c>
      <c r="K41" s="91"/>
      <c r="L41" s="105">
        <f t="shared" si="2"/>
        <v>0.5054398148148147</v>
      </c>
      <c r="M41" s="105">
        <f t="shared" si="3"/>
        <v>0.50914351851851836</v>
      </c>
      <c r="N41" s="38" t="s">
        <v>255</v>
      </c>
      <c r="O41" s="38" t="s">
        <v>256</v>
      </c>
      <c r="P41" s="38" t="s">
        <v>256</v>
      </c>
      <c r="Q41" s="38" t="s">
        <v>256</v>
      </c>
      <c r="R41" s="38"/>
      <c r="T41" s="4"/>
      <c r="U41" s="4"/>
    </row>
    <row r="42" spans="1:22" x14ac:dyDescent="0.2">
      <c r="A42" s="48" t="s">
        <v>279</v>
      </c>
      <c r="B42" s="49">
        <f t="shared" si="4"/>
        <v>8.9004629629629461E-2</v>
      </c>
      <c r="C42" s="96">
        <f t="shared" si="6"/>
        <v>0.50914351851851836</v>
      </c>
      <c r="D42" s="96">
        <v>3.472222222222222E-3</v>
      </c>
      <c r="E42" s="96">
        <f t="shared" ref="E42:E43" si="7">C42+D42</f>
        <v>0.51261574074074057</v>
      </c>
      <c r="F42" s="18" t="s">
        <v>931</v>
      </c>
      <c r="G42" s="18" t="s">
        <v>266</v>
      </c>
      <c r="H42" s="18"/>
      <c r="I42" s="38" t="s">
        <v>254</v>
      </c>
      <c r="J42" s="18" t="s">
        <v>981</v>
      </c>
      <c r="K42" s="90"/>
      <c r="L42" s="105">
        <f t="shared" si="2"/>
        <v>0.50914351851851836</v>
      </c>
      <c r="M42" s="105">
        <f t="shared" si="3"/>
        <v>0.51261574074074057</v>
      </c>
      <c r="N42" s="38" t="s">
        <v>255</v>
      </c>
      <c r="O42" s="38" t="s">
        <v>256</v>
      </c>
      <c r="P42" s="38"/>
      <c r="Q42" s="38" t="s">
        <v>256</v>
      </c>
      <c r="R42" s="38"/>
      <c r="T42" s="4"/>
      <c r="U42" s="4"/>
    </row>
    <row r="43" spans="1:22" x14ac:dyDescent="0.2">
      <c r="A43" s="48" t="s">
        <v>279</v>
      </c>
      <c r="B43" s="49">
        <f t="shared" si="4"/>
        <v>9.2476851851851671E-2</v>
      </c>
      <c r="C43" s="96">
        <f t="shared" si="6"/>
        <v>0.51261574074074057</v>
      </c>
      <c r="D43" s="96">
        <v>5.6712962962962958E-3</v>
      </c>
      <c r="E43" s="96">
        <f t="shared" si="7"/>
        <v>0.51828703703703682</v>
      </c>
      <c r="F43" s="18" t="s">
        <v>998</v>
      </c>
      <c r="G43" s="18" t="s">
        <v>266</v>
      </c>
      <c r="H43" s="18"/>
      <c r="I43" s="38" t="s">
        <v>254</v>
      </c>
      <c r="J43" s="18" t="s">
        <v>981</v>
      </c>
      <c r="K43" s="91" t="s">
        <v>999</v>
      </c>
      <c r="L43" s="105">
        <f t="shared" si="2"/>
        <v>0.51261574074074057</v>
      </c>
      <c r="M43" s="105">
        <f t="shared" si="3"/>
        <v>0.51828703703703682</v>
      </c>
      <c r="N43" s="38"/>
      <c r="O43" s="38" t="s">
        <v>256</v>
      </c>
      <c r="P43" s="38" t="s">
        <v>256</v>
      </c>
      <c r="Q43" s="38" t="s">
        <v>256</v>
      </c>
      <c r="R43" s="38"/>
      <c r="T43" s="4"/>
      <c r="U43" s="4"/>
    </row>
    <row r="44" spans="1:22" s="1" customFormat="1" x14ac:dyDescent="0.2">
      <c r="A44" s="80" t="s">
        <v>279</v>
      </c>
      <c r="B44" s="78">
        <f t="shared" si="4"/>
        <v>0.10069444444444448</v>
      </c>
      <c r="C44" s="79">
        <v>0.52083333333333337</v>
      </c>
      <c r="D44" s="81"/>
      <c r="E44" s="81"/>
      <c r="F44" s="33" t="s">
        <v>62</v>
      </c>
      <c r="G44" s="81"/>
      <c r="H44" s="81"/>
      <c r="I44" s="80" t="s">
        <v>254</v>
      </c>
      <c r="J44" s="81"/>
      <c r="K44" s="81"/>
      <c r="L44" s="109">
        <f t="shared" si="2"/>
        <v>0.52083333333333337</v>
      </c>
      <c r="M44" s="109"/>
      <c r="N44" s="80"/>
      <c r="O44" s="80" t="s">
        <v>256</v>
      </c>
      <c r="P44" s="80" t="s">
        <v>256</v>
      </c>
      <c r="Q44" s="80" t="s">
        <v>256</v>
      </c>
      <c r="R44" s="80" t="s">
        <v>256</v>
      </c>
      <c r="T44" s="73"/>
      <c r="U44" s="73"/>
      <c r="V44" s="74"/>
    </row>
    <row r="45" spans="1:22" x14ac:dyDescent="0.2">
      <c r="A45" s="48" t="s">
        <v>252</v>
      </c>
      <c r="B45" s="49">
        <f t="shared" ref="B45:B62" si="8">$C$63-C45</f>
        <v>0.23263888888888884</v>
      </c>
      <c r="C45" s="49">
        <v>0.52083333333333337</v>
      </c>
      <c r="D45" s="35"/>
      <c r="E45" s="35"/>
      <c r="F45" s="39" t="s">
        <v>257</v>
      </c>
      <c r="G45" s="18"/>
      <c r="H45" s="18"/>
      <c r="I45" s="38" t="s">
        <v>254</v>
      </c>
      <c r="J45" s="37"/>
      <c r="K45" s="37"/>
      <c r="L45" s="37"/>
      <c r="M45" s="37"/>
      <c r="N45" s="38"/>
      <c r="O45" s="38"/>
      <c r="P45" s="38"/>
      <c r="Q45" s="38"/>
      <c r="R45" s="38"/>
      <c r="T45" s="4"/>
      <c r="U45" s="4"/>
    </row>
    <row r="46" spans="1:22" x14ac:dyDescent="0.2">
      <c r="A46" s="48" t="s">
        <v>252</v>
      </c>
      <c r="B46" s="49">
        <f t="shared" si="8"/>
        <v>0.22222222222222221</v>
      </c>
      <c r="C46" s="49">
        <v>0.53125</v>
      </c>
      <c r="D46" s="35"/>
      <c r="E46" s="35"/>
      <c r="F46" s="47" t="s">
        <v>65</v>
      </c>
      <c r="G46" s="18"/>
      <c r="H46" s="18"/>
      <c r="I46" s="38" t="s">
        <v>254</v>
      </c>
      <c r="J46" s="37"/>
      <c r="K46" s="37"/>
      <c r="L46" s="37"/>
      <c r="M46" s="37"/>
      <c r="N46" s="38"/>
      <c r="O46" s="38"/>
      <c r="P46" s="38"/>
      <c r="Q46" s="38"/>
      <c r="R46" s="38" t="s">
        <v>256</v>
      </c>
      <c r="T46" s="4"/>
      <c r="U46" s="4"/>
    </row>
    <row r="47" spans="1:22" x14ac:dyDescent="0.2">
      <c r="A47" s="48" t="s">
        <v>252</v>
      </c>
      <c r="B47" s="49">
        <f t="shared" si="8"/>
        <v>0.22222222222222221</v>
      </c>
      <c r="C47" s="49">
        <v>0.53125</v>
      </c>
      <c r="D47" s="35"/>
      <c r="E47" s="35"/>
      <c r="F47" s="18" t="s">
        <v>362</v>
      </c>
      <c r="G47" s="18"/>
      <c r="H47" s="18"/>
      <c r="I47" s="38" t="s">
        <v>254</v>
      </c>
      <c r="J47" s="37"/>
      <c r="K47" s="37"/>
      <c r="L47" s="37"/>
      <c r="M47" s="37"/>
      <c r="N47" s="38"/>
      <c r="O47" s="38"/>
      <c r="P47" s="38"/>
      <c r="Q47" s="38"/>
      <c r="R47" s="38" t="s">
        <v>256</v>
      </c>
      <c r="T47" s="4"/>
      <c r="U47" s="4"/>
    </row>
    <row r="48" spans="1:22" x14ac:dyDescent="0.2">
      <c r="A48" s="48" t="s">
        <v>252</v>
      </c>
      <c r="B48" s="49">
        <f t="shared" si="8"/>
        <v>0.22222222222222221</v>
      </c>
      <c r="C48" s="49">
        <v>0.53125</v>
      </c>
      <c r="D48" s="35"/>
      <c r="E48" s="35"/>
      <c r="F48" s="47" t="s">
        <v>361</v>
      </c>
      <c r="G48" s="18"/>
      <c r="H48" s="18"/>
      <c r="I48" s="38" t="s">
        <v>254</v>
      </c>
      <c r="J48" s="37"/>
      <c r="K48" s="37"/>
      <c r="L48" s="37"/>
      <c r="M48" s="37"/>
      <c r="N48" s="38"/>
      <c r="O48" s="38"/>
      <c r="P48" s="38"/>
      <c r="Q48" s="38"/>
      <c r="R48" s="38"/>
      <c r="T48" s="4"/>
      <c r="U48" s="4"/>
    </row>
    <row r="49" spans="1:22" s="85" customFormat="1" x14ac:dyDescent="0.2">
      <c r="A49" s="48" t="s">
        <v>252</v>
      </c>
      <c r="B49" s="49">
        <f t="shared" si="8"/>
        <v>0.21180555555555558</v>
      </c>
      <c r="C49" s="96">
        <v>0.54166666666666663</v>
      </c>
      <c r="D49" s="96">
        <f>E49-C49</f>
        <v>0.125</v>
      </c>
      <c r="E49" s="96">
        <v>0.66666666666666663</v>
      </c>
      <c r="F49" s="84" t="s">
        <v>913</v>
      </c>
      <c r="G49" s="83"/>
      <c r="H49" s="83"/>
      <c r="I49" s="38" t="s">
        <v>254</v>
      </c>
      <c r="J49" s="37"/>
      <c r="K49" s="37"/>
      <c r="L49" s="37"/>
      <c r="M49" s="37"/>
      <c r="N49" s="38"/>
      <c r="O49" s="82"/>
      <c r="P49" s="82"/>
      <c r="Q49" s="82"/>
      <c r="R49" s="82"/>
      <c r="T49" s="86"/>
      <c r="U49" s="86"/>
      <c r="V49" s="87"/>
    </row>
    <row r="50" spans="1:22" x14ac:dyDescent="0.2">
      <c r="A50" s="48" t="s">
        <v>252</v>
      </c>
      <c r="B50" s="49">
        <f t="shared" si="8"/>
        <v>0.19097222222222221</v>
      </c>
      <c r="C50" s="49">
        <v>0.5625</v>
      </c>
      <c r="D50" s="96">
        <f>E50-C50</f>
        <v>0.125</v>
      </c>
      <c r="E50" s="96">
        <v>0.6875</v>
      </c>
      <c r="F50" s="18" t="s">
        <v>958</v>
      </c>
      <c r="G50" s="18" t="s">
        <v>266</v>
      </c>
      <c r="H50" s="18"/>
      <c r="I50" s="38" t="s">
        <v>254</v>
      </c>
      <c r="J50" s="37"/>
      <c r="K50" s="37"/>
      <c r="L50" s="37"/>
      <c r="M50" s="37"/>
      <c r="N50" s="38"/>
      <c r="O50" s="38" t="s">
        <v>256</v>
      </c>
      <c r="P50" s="38"/>
      <c r="Q50" s="38" t="s">
        <v>256</v>
      </c>
      <c r="R50" s="38" t="s">
        <v>256</v>
      </c>
      <c r="T50" s="4"/>
      <c r="U50" s="4"/>
    </row>
    <row r="51" spans="1:22" x14ac:dyDescent="0.2">
      <c r="A51" s="48" t="s">
        <v>252</v>
      </c>
      <c r="B51" s="49">
        <f t="shared" si="8"/>
        <v>8.680555555555558E-2</v>
      </c>
      <c r="C51" s="49">
        <v>0.66666666666666663</v>
      </c>
      <c r="D51" s="49">
        <f>E51-C51</f>
        <v>0.20833333333333337</v>
      </c>
      <c r="E51" s="49">
        <v>0.875</v>
      </c>
      <c r="F51" s="18" t="s">
        <v>892</v>
      </c>
      <c r="G51" s="18"/>
      <c r="H51" s="18"/>
      <c r="I51" s="38" t="s">
        <v>254</v>
      </c>
      <c r="J51" s="37"/>
      <c r="K51" s="37"/>
      <c r="L51" s="37"/>
      <c r="M51" s="37"/>
      <c r="N51" s="38"/>
      <c r="O51" s="38"/>
      <c r="P51" s="38"/>
      <c r="Q51" s="38"/>
      <c r="R51" s="38" t="s">
        <v>256</v>
      </c>
      <c r="T51" s="4"/>
      <c r="U51" s="4"/>
    </row>
    <row r="52" spans="1:22" x14ac:dyDescent="0.2">
      <c r="A52" s="48" t="s">
        <v>252</v>
      </c>
      <c r="B52" s="49">
        <f t="shared" si="8"/>
        <v>6.597222222222221E-2</v>
      </c>
      <c r="C52" s="49">
        <v>0.6875</v>
      </c>
      <c r="D52" s="49">
        <f>E52-C52</f>
        <v>4.861111111111116E-2</v>
      </c>
      <c r="E52" s="49">
        <v>0.73611111111111116</v>
      </c>
      <c r="F52" s="18" t="s">
        <v>893</v>
      </c>
      <c r="G52" s="18" t="s">
        <v>266</v>
      </c>
      <c r="H52" s="18"/>
      <c r="I52" s="38" t="s">
        <v>254</v>
      </c>
      <c r="J52" s="37"/>
      <c r="K52" s="37"/>
      <c r="L52" s="37"/>
      <c r="M52" s="37"/>
      <c r="N52" s="38"/>
      <c r="O52" s="38" t="s">
        <v>256</v>
      </c>
      <c r="P52" s="38"/>
      <c r="Q52" s="38" t="s">
        <v>256</v>
      </c>
      <c r="R52" s="38"/>
      <c r="T52" s="4"/>
      <c r="U52" s="4"/>
    </row>
    <row r="53" spans="1:22" x14ac:dyDescent="0.2">
      <c r="A53" s="48" t="s">
        <v>252</v>
      </c>
      <c r="B53" s="49">
        <f t="shared" si="8"/>
        <v>6.597222222222221E-2</v>
      </c>
      <c r="C53" s="49">
        <v>0.6875</v>
      </c>
      <c r="D53" s="35"/>
      <c r="E53" s="35"/>
      <c r="F53" s="18" t="s">
        <v>55</v>
      </c>
      <c r="G53" s="18"/>
      <c r="H53" s="18"/>
      <c r="I53" s="38" t="s">
        <v>254</v>
      </c>
      <c r="J53" s="37"/>
      <c r="K53" s="37"/>
      <c r="L53" s="37"/>
      <c r="M53" s="37"/>
      <c r="N53" s="38"/>
      <c r="O53" s="38" t="s">
        <v>256</v>
      </c>
      <c r="P53" s="38"/>
      <c r="Q53" s="38" t="s">
        <v>256</v>
      </c>
      <c r="R53" s="38" t="s">
        <v>256</v>
      </c>
      <c r="T53" s="4"/>
      <c r="U53" s="4"/>
    </row>
    <row r="54" spans="1:22" x14ac:dyDescent="0.2">
      <c r="A54" s="48" t="s">
        <v>252</v>
      </c>
      <c r="B54" s="49">
        <f t="shared" si="8"/>
        <v>5.555555555555558E-2</v>
      </c>
      <c r="C54" s="49">
        <v>0.69791666666666663</v>
      </c>
      <c r="D54" s="35"/>
      <c r="E54" s="35"/>
      <c r="F54" s="18" t="s">
        <v>473</v>
      </c>
      <c r="G54" s="18"/>
      <c r="H54" s="18"/>
      <c r="I54" s="38" t="s">
        <v>254</v>
      </c>
      <c r="J54" s="37"/>
      <c r="K54" s="37"/>
      <c r="L54" s="37"/>
      <c r="M54" s="37"/>
      <c r="N54" s="38"/>
      <c r="O54" s="38"/>
      <c r="P54" s="38"/>
      <c r="Q54" s="38"/>
      <c r="R54" s="38" t="s">
        <v>256</v>
      </c>
      <c r="T54" s="4"/>
      <c r="U54" s="4"/>
    </row>
    <row r="55" spans="1:22" x14ac:dyDescent="0.2">
      <c r="A55" s="48" t="s">
        <v>252</v>
      </c>
      <c r="B55" s="49">
        <f t="shared" si="8"/>
        <v>5.555555555555558E-2</v>
      </c>
      <c r="C55" s="49">
        <v>0.69791666666666663</v>
      </c>
      <c r="D55" s="35"/>
      <c r="E55" s="35"/>
      <c r="F55" s="18" t="s">
        <v>366</v>
      </c>
      <c r="G55" s="18"/>
      <c r="H55" s="18"/>
      <c r="I55" s="38" t="s">
        <v>254</v>
      </c>
      <c r="J55" s="37"/>
      <c r="K55" s="37"/>
      <c r="L55" s="37"/>
      <c r="M55" s="37"/>
      <c r="N55" s="38"/>
      <c r="O55" s="38"/>
      <c r="P55" s="38"/>
      <c r="Q55" s="38"/>
      <c r="R55" s="38" t="s">
        <v>256</v>
      </c>
      <c r="T55" s="4"/>
      <c r="U55" s="4"/>
    </row>
    <row r="56" spans="1:22" x14ac:dyDescent="0.2">
      <c r="A56" s="48" t="s">
        <v>252</v>
      </c>
      <c r="B56" s="49">
        <f t="shared" si="8"/>
        <v>4.513888888888884E-2</v>
      </c>
      <c r="C56" s="49">
        <v>0.70833333333333337</v>
      </c>
      <c r="D56" s="35"/>
      <c r="E56" s="35"/>
      <c r="F56" s="18" t="s">
        <v>52</v>
      </c>
      <c r="G56" s="18"/>
      <c r="H56" s="18"/>
      <c r="I56" s="38" t="s">
        <v>254</v>
      </c>
      <c r="J56" s="37"/>
      <c r="K56" s="37"/>
      <c r="L56" s="37"/>
      <c r="M56" s="37"/>
      <c r="N56" s="38"/>
      <c r="O56" s="38"/>
      <c r="P56" s="38"/>
      <c r="Q56" s="38"/>
      <c r="R56" s="38"/>
      <c r="T56" s="4"/>
      <c r="U56" s="4"/>
    </row>
    <row r="57" spans="1:22" x14ac:dyDescent="0.2">
      <c r="A57" s="48" t="s">
        <v>252</v>
      </c>
      <c r="B57" s="49">
        <f t="shared" si="8"/>
        <v>4.513888888888884E-2</v>
      </c>
      <c r="C57" s="49">
        <v>0.70833333333333337</v>
      </c>
      <c r="D57" s="35"/>
      <c r="E57" s="35"/>
      <c r="F57" s="20" t="s">
        <v>53</v>
      </c>
      <c r="G57" s="18"/>
      <c r="H57" s="18"/>
      <c r="I57" s="38" t="s">
        <v>254</v>
      </c>
      <c r="J57" s="37"/>
      <c r="K57" s="37"/>
      <c r="L57" s="37"/>
      <c r="M57" s="37"/>
      <c r="N57" s="38"/>
      <c r="O57" s="38"/>
      <c r="P57" s="38"/>
      <c r="Q57" s="38"/>
      <c r="R57" s="38" t="s">
        <v>256</v>
      </c>
      <c r="T57" s="4"/>
      <c r="U57" s="4"/>
    </row>
    <row r="58" spans="1:22" x14ac:dyDescent="0.2">
      <c r="A58" s="48" t="s">
        <v>252</v>
      </c>
      <c r="B58" s="49">
        <f t="shared" si="8"/>
        <v>1.7361111111111049E-2</v>
      </c>
      <c r="C58" s="49">
        <v>0.73611111111111116</v>
      </c>
      <c r="D58" s="35"/>
      <c r="E58" s="35"/>
      <c r="F58" s="18" t="s">
        <v>367</v>
      </c>
      <c r="G58" s="18" t="s">
        <v>266</v>
      </c>
      <c r="H58" s="18"/>
      <c r="I58" s="38" t="s">
        <v>254</v>
      </c>
      <c r="J58" s="37"/>
      <c r="K58" s="37"/>
      <c r="L58" s="37"/>
      <c r="M58" s="37"/>
      <c r="N58" s="38"/>
      <c r="O58" s="38" t="s">
        <v>256</v>
      </c>
      <c r="P58" s="38" t="s">
        <v>256</v>
      </c>
      <c r="Q58" s="38" t="s">
        <v>256</v>
      </c>
      <c r="R58" s="38" t="s">
        <v>256</v>
      </c>
      <c r="T58" s="4"/>
      <c r="U58" s="4"/>
    </row>
    <row r="59" spans="1:22" x14ac:dyDescent="0.2">
      <c r="A59" s="48" t="s">
        <v>252</v>
      </c>
      <c r="B59" s="49">
        <f t="shared" si="8"/>
        <v>1.388888888888884E-2</v>
      </c>
      <c r="C59" s="49">
        <v>0.73958333333333337</v>
      </c>
      <c r="D59" s="35"/>
      <c r="E59" s="35"/>
      <c r="F59" s="18" t="s">
        <v>56</v>
      </c>
      <c r="G59" s="18"/>
      <c r="H59" s="18"/>
      <c r="I59" s="38" t="s">
        <v>254</v>
      </c>
      <c r="J59" s="37"/>
      <c r="K59" s="37"/>
      <c r="L59" s="37"/>
      <c r="M59" s="37"/>
      <c r="N59" s="38"/>
      <c r="O59" s="38" t="s">
        <v>256</v>
      </c>
      <c r="P59" s="38" t="s">
        <v>256</v>
      </c>
      <c r="Q59" s="38" t="s">
        <v>256</v>
      </c>
      <c r="R59" s="38" t="s">
        <v>256</v>
      </c>
      <c r="T59" s="4"/>
      <c r="U59" s="4"/>
    </row>
    <row r="60" spans="1:22" s="1" customFormat="1" x14ac:dyDescent="0.2">
      <c r="A60" s="75" t="s">
        <v>252</v>
      </c>
      <c r="B60" s="77">
        <f t="shared" si="8"/>
        <v>3.4722222222222099E-3</v>
      </c>
      <c r="C60" s="77">
        <v>0.75</v>
      </c>
      <c r="D60" s="76"/>
      <c r="E60" s="76"/>
      <c r="F60" s="31" t="s">
        <v>57</v>
      </c>
      <c r="G60" s="76"/>
      <c r="H60" s="76"/>
      <c r="I60" s="75" t="s">
        <v>254</v>
      </c>
      <c r="J60" s="76"/>
      <c r="K60" s="76"/>
      <c r="L60" s="108">
        <f t="shared" ref="L60:L84" si="9">C60</f>
        <v>0.75</v>
      </c>
      <c r="M60" s="108"/>
      <c r="N60" s="75"/>
      <c r="O60" s="75" t="s">
        <v>256</v>
      </c>
      <c r="P60" s="75" t="s">
        <v>256</v>
      </c>
      <c r="Q60" s="75" t="s">
        <v>256</v>
      </c>
      <c r="R60" s="75" t="s">
        <v>256</v>
      </c>
      <c r="T60" s="73"/>
      <c r="U60" s="73"/>
      <c r="V60" s="74"/>
    </row>
    <row r="61" spans="1:22" x14ac:dyDescent="0.2">
      <c r="A61" s="48" t="s">
        <v>252</v>
      </c>
      <c r="B61" s="49">
        <f t="shared" si="8"/>
        <v>3.4722222222222099E-3</v>
      </c>
      <c r="C61" s="49">
        <f>C60</f>
        <v>0.75</v>
      </c>
      <c r="D61" s="49">
        <v>2.0833333333333333E-3</v>
      </c>
      <c r="E61" s="49">
        <f>C61+D61</f>
        <v>0.75208333333333333</v>
      </c>
      <c r="F61" s="20" t="s">
        <v>894</v>
      </c>
      <c r="G61" s="18" t="s">
        <v>266</v>
      </c>
      <c r="H61" s="18"/>
      <c r="I61" s="38" t="s">
        <v>254</v>
      </c>
      <c r="J61" s="18" t="s">
        <v>1000</v>
      </c>
      <c r="K61" s="37"/>
      <c r="L61" s="105">
        <f t="shared" si="9"/>
        <v>0.75</v>
      </c>
      <c r="M61" s="105">
        <f t="shared" ref="M61:M83" si="10">E61</f>
        <v>0.75208333333333333</v>
      </c>
      <c r="N61" s="38"/>
      <c r="O61" s="38" t="s">
        <v>256</v>
      </c>
      <c r="P61" s="38" t="s">
        <v>256</v>
      </c>
      <c r="Q61" s="38" t="s">
        <v>256</v>
      </c>
      <c r="R61" s="38"/>
      <c r="T61" s="4"/>
      <c r="U61" s="4"/>
    </row>
    <row r="62" spans="1:22" x14ac:dyDescent="0.2">
      <c r="A62" s="48" t="s">
        <v>252</v>
      </c>
      <c r="B62" s="49">
        <f t="shared" si="8"/>
        <v>1.388888888888884E-3</v>
      </c>
      <c r="C62" s="49">
        <f>E61</f>
        <v>0.75208333333333333</v>
      </c>
      <c r="D62" s="49">
        <v>1.3888888888888889E-3</v>
      </c>
      <c r="E62" s="49">
        <f>C62+D62</f>
        <v>0.75347222222222221</v>
      </c>
      <c r="F62" s="18" t="s">
        <v>59</v>
      </c>
      <c r="G62" s="18" t="s">
        <v>266</v>
      </c>
      <c r="H62" s="18"/>
      <c r="I62" s="38" t="s">
        <v>254</v>
      </c>
      <c r="J62" s="18" t="s">
        <v>1000</v>
      </c>
      <c r="K62" s="37"/>
      <c r="L62" s="105">
        <f t="shared" si="9"/>
        <v>0.75208333333333333</v>
      </c>
      <c r="M62" s="105">
        <f t="shared" si="10"/>
        <v>0.75347222222222221</v>
      </c>
      <c r="N62" s="38"/>
      <c r="O62" s="38" t="s">
        <v>256</v>
      </c>
      <c r="P62" s="38" t="s">
        <v>256</v>
      </c>
      <c r="Q62" s="38" t="s">
        <v>256</v>
      </c>
      <c r="R62" s="38"/>
      <c r="T62" s="4"/>
      <c r="U62" s="4"/>
    </row>
    <row r="63" spans="1:22" s="1" customFormat="1" x14ac:dyDescent="0.2">
      <c r="A63" s="70" t="s">
        <v>252</v>
      </c>
      <c r="B63" s="72">
        <v>0</v>
      </c>
      <c r="C63" s="72">
        <f>E62</f>
        <v>0.75347222222222221</v>
      </c>
      <c r="D63" s="71"/>
      <c r="E63" s="71"/>
      <c r="F63" s="32" t="s">
        <v>60</v>
      </c>
      <c r="G63" s="71"/>
      <c r="H63" s="71"/>
      <c r="I63" s="70" t="s">
        <v>254</v>
      </c>
      <c r="J63" s="71" t="s">
        <v>1000</v>
      </c>
      <c r="K63" s="71"/>
      <c r="L63" s="114">
        <f t="shared" si="9"/>
        <v>0.75347222222222221</v>
      </c>
      <c r="M63" s="114"/>
      <c r="N63" s="70"/>
      <c r="O63" s="70" t="s">
        <v>256</v>
      </c>
      <c r="P63" s="70" t="s">
        <v>256</v>
      </c>
      <c r="Q63" s="70" t="s">
        <v>256</v>
      </c>
      <c r="R63" s="70" t="s">
        <v>256</v>
      </c>
      <c r="T63" s="73"/>
      <c r="U63" s="73"/>
      <c r="V63" s="74"/>
    </row>
    <row r="64" spans="1:22" x14ac:dyDescent="0.2">
      <c r="A64" s="48" t="s">
        <v>279</v>
      </c>
      <c r="B64" s="49">
        <f>C64-$C$63</f>
        <v>0</v>
      </c>
      <c r="C64" s="49">
        <f>C63</f>
        <v>0.75347222222222221</v>
      </c>
      <c r="D64" s="96">
        <f>SUM(D65:D70)</f>
        <v>4.4791666666666667E-2</v>
      </c>
      <c r="E64" s="49">
        <f>C64+D64</f>
        <v>0.79826388888888888</v>
      </c>
      <c r="F64" s="18" t="s">
        <v>1001</v>
      </c>
      <c r="G64" s="18" t="s">
        <v>266</v>
      </c>
      <c r="H64" s="18"/>
      <c r="I64" s="38" t="s">
        <v>254</v>
      </c>
      <c r="J64" s="18" t="s">
        <v>1000</v>
      </c>
      <c r="K64" s="91" t="s">
        <v>1002</v>
      </c>
      <c r="L64" s="105">
        <f t="shared" si="9"/>
        <v>0.75347222222222221</v>
      </c>
      <c r="M64" s="105">
        <f t="shared" si="10"/>
        <v>0.79826388888888888</v>
      </c>
      <c r="N64" s="38"/>
      <c r="O64" s="38" t="s">
        <v>256</v>
      </c>
      <c r="P64" s="38" t="s">
        <v>256</v>
      </c>
      <c r="Q64" s="38" t="s">
        <v>256</v>
      </c>
      <c r="R64" s="38"/>
      <c r="T64" s="4"/>
      <c r="U64" s="4"/>
    </row>
    <row r="65" spans="1:21" x14ac:dyDescent="0.2">
      <c r="A65" s="48" t="s">
        <v>279</v>
      </c>
      <c r="B65" s="49">
        <f>C65-$C$63</f>
        <v>0</v>
      </c>
      <c r="C65" s="49">
        <f>C64</f>
        <v>0.75347222222222221</v>
      </c>
      <c r="D65" s="96">
        <v>7.4652777777777781E-3</v>
      </c>
      <c r="E65" s="49">
        <f t="shared" ref="E65:E83" si="11">C65+D65</f>
        <v>0.76093749999999993</v>
      </c>
      <c r="F65" s="18" t="s">
        <v>1003</v>
      </c>
      <c r="G65" s="18" t="s">
        <v>266</v>
      </c>
      <c r="H65" s="18"/>
      <c r="I65" s="38" t="s">
        <v>254</v>
      </c>
      <c r="J65" s="18" t="s">
        <v>1000</v>
      </c>
      <c r="K65" s="91"/>
      <c r="L65" s="105">
        <f t="shared" si="9"/>
        <v>0.75347222222222221</v>
      </c>
      <c r="M65" s="105">
        <f t="shared" si="10"/>
        <v>0.76093749999999993</v>
      </c>
      <c r="N65" s="38" t="s">
        <v>255</v>
      </c>
      <c r="O65" s="38" t="s">
        <v>256</v>
      </c>
      <c r="P65" s="38" t="s">
        <v>256</v>
      </c>
      <c r="Q65" s="38" t="s">
        <v>256</v>
      </c>
      <c r="R65" s="38"/>
      <c r="T65" s="4"/>
      <c r="U65" s="4"/>
    </row>
    <row r="66" spans="1:21" x14ac:dyDescent="0.2">
      <c r="A66" s="48" t="s">
        <v>279</v>
      </c>
      <c r="B66" s="49">
        <f>C66-$C$63</f>
        <v>7.4652777777777235E-3</v>
      </c>
      <c r="C66" s="49">
        <f>E65</f>
        <v>0.76093749999999993</v>
      </c>
      <c r="D66" s="96">
        <v>7.4652777777777781E-3</v>
      </c>
      <c r="E66" s="49">
        <f t="shared" si="11"/>
        <v>0.76840277777777766</v>
      </c>
      <c r="F66" s="18" t="s">
        <v>1004</v>
      </c>
      <c r="G66" s="18" t="s">
        <v>266</v>
      </c>
      <c r="H66" s="18"/>
      <c r="I66" s="38" t="s">
        <v>254</v>
      </c>
      <c r="J66" s="18" t="s">
        <v>1000</v>
      </c>
      <c r="K66" s="91"/>
      <c r="L66" s="105">
        <f t="shared" si="9"/>
        <v>0.76093749999999993</v>
      </c>
      <c r="M66" s="105">
        <f t="shared" si="10"/>
        <v>0.76840277777777766</v>
      </c>
      <c r="N66" s="38" t="s">
        <v>255</v>
      </c>
      <c r="O66" s="38" t="s">
        <v>256</v>
      </c>
      <c r="P66" s="38" t="s">
        <v>256</v>
      </c>
      <c r="Q66" s="38" t="s">
        <v>256</v>
      </c>
      <c r="R66" s="38"/>
      <c r="T66" s="4"/>
      <c r="U66" s="4"/>
    </row>
    <row r="67" spans="1:21" x14ac:dyDescent="0.2">
      <c r="A67" s="48" t="s">
        <v>279</v>
      </c>
      <c r="B67" s="49">
        <f>C67-$C$63</f>
        <v>1.4930555555555447E-2</v>
      </c>
      <c r="C67" s="49">
        <f t="shared" ref="C67:C83" si="12">E66</f>
        <v>0.76840277777777766</v>
      </c>
      <c r="D67" s="96">
        <v>7.4652777777777781E-3</v>
      </c>
      <c r="E67" s="49">
        <f t="shared" si="11"/>
        <v>0.77586805555555538</v>
      </c>
      <c r="F67" s="18" t="s">
        <v>1005</v>
      </c>
      <c r="G67" s="18" t="s">
        <v>266</v>
      </c>
      <c r="H67" s="18"/>
      <c r="I67" s="38" t="s">
        <v>254</v>
      </c>
      <c r="J67" s="18" t="s">
        <v>1000</v>
      </c>
      <c r="K67" s="91"/>
      <c r="L67" s="105">
        <f t="shared" si="9"/>
        <v>0.76840277777777766</v>
      </c>
      <c r="M67" s="105">
        <f t="shared" si="10"/>
        <v>0.77586805555555538</v>
      </c>
      <c r="N67" s="38" t="s">
        <v>255</v>
      </c>
      <c r="O67" s="38" t="s">
        <v>256</v>
      </c>
      <c r="P67" s="38" t="s">
        <v>256</v>
      </c>
      <c r="Q67" s="38" t="s">
        <v>256</v>
      </c>
      <c r="R67" s="38"/>
      <c r="T67" s="4"/>
      <c r="U67" s="4"/>
    </row>
    <row r="68" spans="1:21" x14ac:dyDescent="0.2">
      <c r="A68" s="48" t="s">
        <v>279</v>
      </c>
      <c r="B68" s="49">
        <f t="shared" ref="B68:B84" si="13">C68-$C$63</f>
        <v>2.2395833333333171E-2</v>
      </c>
      <c r="C68" s="49">
        <f t="shared" si="12"/>
        <v>0.77586805555555538</v>
      </c>
      <c r="D68" s="96">
        <v>7.4652777777777781E-3</v>
      </c>
      <c r="E68" s="49">
        <f t="shared" si="11"/>
        <v>0.7833333333333331</v>
      </c>
      <c r="F68" s="18" t="s">
        <v>1006</v>
      </c>
      <c r="G68" s="18" t="s">
        <v>266</v>
      </c>
      <c r="H68" s="18"/>
      <c r="I68" s="38" t="s">
        <v>254</v>
      </c>
      <c r="J68" s="18" t="s">
        <v>1000</v>
      </c>
      <c r="K68" s="91"/>
      <c r="L68" s="105">
        <f t="shared" si="9"/>
        <v>0.77586805555555538</v>
      </c>
      <c r="M68" s="105">
        <f t="shared" si="10"/>
        <v>0.7833333333333331</v>
      </c>
      <c r="N68" s="38" t="s">
        <v>255</v>
      </c>
      <c r="O68" s="38" t="s">
        <v>256</v>
      </c>
      <c r="P68" s="38" t="s">
        <v>256</v>
      </c>
      <c r="Q68" s="38" t="s">
        <v>256</v>
      </c>
      <c r="R68" s="38"/>
      <c r="T68" s="4"/>
      <c r="U68" s="4"/>
    </row>
    <row r="69" spans="1:21" x14ac:dyDescent="0.2">
      <c r="A69" s="48" t="s">
        <v>279</v>
      </c>
      <c r="B69" s="49">
        <f t="shared" si="13"/>
        <v>2.9861111111110894E-2</v>
      </c>
      <c r="C69" s="49">
        <f t="shared" si="12"/>
        <v>0.7833333333333331</v>
      </c>
      <c r="D69" s="96">
        <v>7.4652777777777781E-3</v>
      </c>
      <c r="E69" s="49">
        <f t="shared" si="11"/>
        <v>0.79079861111111083</v>
      </c>
      <c r="F69" s="18" t="s">
        <v>1007</v>
      </c>
      <c r="G69" s="18" t="s">
        <v>266</v>
      </c>
      <c r="H69" s="18"/>
      <c r="I69" s="38" t="s">
        <v>254</v>
      </c>
      <c r="J69" s="18" t="s">
        <v>1000</v>
      </c>
      <c r="K69" s="91"/>
      <c r="L69" s="105">
        <f t="shared" si="9"/>
        <v>0.7833333333333331</v>
      </c>
      <c r="M69" s="105">
        <f t="shared" si="10"/>
        <v>0.79079861111111083</v>
      </c>
      <c r="N69" s="38" t="s">
        <v>255</v>
      </c>
      <c r="O69" s="38" t="s">
        <v>256</v>
      </c>
      <c r="P69" s="38" t="s">
        <v>256</v>
      </c>
      <c r="Q69" s="38" t="s">
        <v>256</v>
      </c>
      <c r="R69" s="38"/>
      <c r="T69" s="4"/>
      <c r="U69" s="4"/>
    </row>
    <row r="70" spans="1:21" x14ac:dyDescent="0.2">
      <c r="A70" s="48" t="s">
        <v>279</v>
      </c>
      <c r="B70" s="49">
        <f t="shared" si="13"/>
        <v>3.7326388888888618E-2</v>
      </c>
      <c r="C70" s="49">
        <f t="shared" si="12"/>
        <v>0.79079861111111083</v>
      </c>
      <c r="D70" s="96">
        <v>7.4652777777777781E-3</v>
      </c>
      <c r="E70" s="49">
        <f t="shared" si="11"/>
        <v>0.79826388888888855</v>
      </c>
      <c r="F70" s="18" t="s">
        <v>1008</v>
      </c>
      <c r="G70" s="18" t="s">
        <v>266</v>
      </c>
      <c r="H70" s="18"/>
      <c r="I70" s="38" t="s">
        <v>254</v>
      </c>
      <c r="J70" s="18" t="s">
        <v>1000</v>
      </c>
      <c r="K70" s="91"/>
      <c r="L70" s="105">
        <f t="shared" si="9"/>
        <v>0.79079861111111083</v>
      </c>
      <c r="M70" s="105">
        <f t="shared" si="10"/>
        <v>0.79826388888888855</v>
      </c>
      <c r="N70" s="38" t="s">
        <v>255</v>
      </c>
      <c r="O70" s="38" t="s">
        <v>256</v>
      </c>
      <c r="P70" s="38" t="s">
        <v>256</v>
      </c>
      <c r="Q70" s="38" t="s">
        <v>256</v>
      </c>
      <c r="R70" s="38"/>
      <c r="T70" s="4"/>
      <c r="U70" s="4"/>
    </row>
    <row r="71" spans="1:21" x14ac:dyDescent="0.2">
      <c r="A71" s="48" t="s">
        <v>279</v>
      </c>
      <c r="B71" s="49">
        <f t="shared" si="13"/>
        <v>4.4791666666666341E-2</v>
      </c>
      <c r="C71" s="49">
        <f t="shared" si="12"/>
        <v>0.79826388888888855</v>
      </c>
      <c r="D71" s="96">
        <v>6.9444444444444441E-3</v>
      </c>
      <c r="E71" s="49">
        <f t="shared" si="11"/>
        <v>0.80520833333333297</v>
      </c>
      <c r="F71" s="18" t="s">
        <v>923</v>
      </c>
      <c r="G71" s="18" t="s">
        <v>266</v>
      </c>
      <c r="H71" s="18"/>
      <c r="I71" s="38" t="s">
        <v>254</v>
      </c>
      <c r="J71" s="18" t="s">
        <v>1000</v>
      </c>
      <c r="K71" s="90"/>
      <c r="L71" s="105">
        <f t="shared" si="9"/>
        <v>0.79826388888888855</v>
      </c>
      <c r="M71" s="105">
        <f t="shared" si="10"/>
        <v>0.80520833333333297</v>
      </c>
      <c r="N71" s="38" t="s">
        <v>255</v>
      </c>
      <c r="O71" s="38" t="s">
        <v>256</v>
      </c>
      <c r="P71" s="38"/>
      <c r="Q71" s="38" t="s">
        <v>256</v>
      </c>
      <c r="R71" s="38"/>
      <c r="T71" s="4"/>
      <c r="U71" s="4"/>
    </row>
    <row r="72" spans="1:21" x14ac:dyDescent="0.2">
      <c r="A72" s="48" t="s">
        <v>279</v>
      </c>
      <c r="B72" s="49">
        <f t="shared" si="13"/>
        <v>5.1736111111110761E-2</v>
      </c>
      <c r="C72" s="49">
        <f t="shared" si="12"/>
        <v>0.80520833333333297</v>
      </c>
      <c r="D72" s="96">
        <v>6.9444444444444441E-3</v>
      </c>
      <c r="E72" s="49">
        <f t="shared" si="11"/>
        <v>0.81215277777777739</v>
      </c>
      <c r="F72" s="18" t="s">
        <v>905</v>
      </c>
      <c r="G72" s="18" t="s">
        <v>266</v>
      </c>
      <c r="H72" s="18"/>
      <c r="I72" s="38" t="s">
        <v>254</v>
      </c>
      <c r="J72" s="18" t="s">
        <v>1000</v>
      </c>
      <c r="K72" s="90"/>
      <c r="L72" s="105">
        <f t="shared" si="9"/>
        <v>0.80520833333333297</v>
      </c>
      <c r="M72" s="105">
        <f t="shared" si="10"/>
        <v>0.81215277777777739</v>
      </c>
      <c r="N72" s="38" t="s">
        <v>255</v>
      </c>
      <c r="O72" s="38" t="s">
        <v>256</v>
      </c>
      <c r="P72" s="38"/>
      <c r="Q72" s="38" t="s">
        <v>256</v>
      </c>
      <c r="R72" s="38"/>
      <c r="T72" s="4"/>
      <c r="U72" s="4"/>
    </row>
    <row r="73" spans="1:21" x14ac:dyDescent="0.2">
      <c r="A73" s="48" t="s">
        <v>279</v>
      </c>
      <c r="B73" s="49">
        <f t="shared" si="13"/>
        <v>5.8680555555555181E-2</v>
      </c>
      <c r="C73" s="49">
        <f t="shared" si="12"/>
        <v>0.81215277777777739</v>
      </c>
      <c r="D73" s="96">
        <v>2.0833333333333333E-3</v>
      </c>
      <c r="E73" s="49">
        <f t="shared" si="11"/>
        <v>0.81423611111111072</v>
      </c>
      <c r="F73" s="18" t="s">
        <v>894</v>
      </c>
      <c r="G73" s="18" t="s">
        <v>266</v>
      </c>
      <c r="H73" s="18"/>
      <c r="I73" s="38" t="s">
        <v>254</v>
      </c>
      <c r="J73" s="18" t="s">
        <v>1000</v>
      </c>
      <c r="K73" s="90"/>
      <c r="L73" s="105">
        <f t="shared" si="9"/>
        <v>0.81215277777777739</v>
      </c>
      <c r="M73" s="105">
        <f t="shared" si="10"/>
        <v>0.81423611111111072</v>
      </c>
      <c r="N73" s="38" t="s">
        <v>255</v>
      </c>
      <c r="O73" s="38" t="s">
        <v>256</v>
      </c>
      <c r="P73" s="38"/>
      <c r="Q73" s="38" t="s">
        <v>256</v>
      </c>
      <c r="R73" s="38"/>
      <c r="T73" s="4"/>
      <c r="U73" s="4"/>
    </row>
    <row r="74" spans="1:21" x14ac:dyDescent="0.2">
      <c r="A74" s="48" t="s">
        <v>279</v>
      </c>
      <c r="B74" s="49">
        <f t="shared" si="13"/>
        <v>6.0763888888888506E-2</v>
      </c>
      <c r="C74" s="49">
        <f t="shared" si="12"/>
        <v>0.81423611111111072</v>
      </c>
      <c r="D74" s="96">
        <v>1.3888888888888889E-3</v>
      </c>
      <c r="E74" s="49">
        <f t="shared" si="11"/>
        <v>0.8156249999999996</v>
      </c>
      <c r="F74" s="69" t="s">
        <v>59</v>
      </c>
      <c r="G74" s="18" t="s">
        <v>266</v>
      </c>
      <c r="H74" s="18"/>
      <c r="I74" s="38" t="s">
        <v>254</v>
      </c>
      <c r="J74" s="18" t="s">
        <v>1000</v>
      </c>
      <c r="K74" s="90"/>
      <c r="L74" s="105">
        <f t="shared" si="9"/>
        <v>0.81423611111111072</v>
      </c>
      <c r="M74" s="105">
        <f t="shared" si="10"/>
        <v>0.8156249999999996</v>
      </c>
      <c r="N74" s="38" t="s">
        <v>255</v>
      </c>
      <c r="O74" s="38" t="s">
        <v>256</v>
      </c>
      <c r="P74" s="38"/>
      <c r="Q74" s="38" t="s">
        <v>256</v>
      </c>
      <c r="R74" s="38"/>
      <c r="T74" s="4"/>
      <c r="U74" s="4"/>
    </row>
    <row r="75" spans="1:21" x14ac:dyDescent="0.2">
      <c r="A75" s="48" t="s">
        <v>279</v>
      </c>
      <c r="B75" s="49">
        <f t="shared" si="13"/>
        <v>6.215277777777739E-2</v>
      </c>
      <c r="C75" s="49">
        <f t="shared" si="12"/>
        <v>0.8156249999999996</v>
      </c>
      <c r="D75" s="96">
        <f>SUM(D76:D80)</f>
        <v>2.4884259259259259E-2</v>
      </c>
      <c r="E75" s="49">
        <f t="shared" si="11"/>
        <v>0.8405092592592589</v>
      </c>
      <c r="F75" s="18" t="s">
        <v>1009</v>
      </c>
      <c r="G75" s="18" t="s">
        <v>266</v>
      </c>
      <c r="H75" s="18"/>
      <c r="I75" s="38" t="s">
        <v>254</v>
      </c>
      <c r="J75" s="18" t="s">
        <v>1000</v>
      </c>
      <c r="K75" s="91" t="s">
        <v>1010</v>
      </c>
      <c r="L75" s="105">
        <f t="shared" si="9"/>
        <v>0.8156249999999996</v>
      </c>
      <c r="M75" s="105">
        <f t="shared" si="10"/>
        <v>0.8405092592592589</v>
      </c>
      <c r="N75" s="38"/>
      <c r="O75" s="38" t="s">
        <v>256</v>
      </c>
      <c r="P75" s="38" t="s">
        <v>256</v>
      </c>
      <c r="Q75" s="38" t="s">
        <v>256</v>
      </c>
      <c r="R75" s="38"/>
      <c r="T75" s="4"/>
      <c r="U75" s="4"/>
    </row>
    <row r="76" spans="1:21" x14ac:dyDescent="0.2">
      <c r="A76" s="48" t="s">
        <v>279</v>
      </c>
      <c r="B76" s="49">
        <f t="shared" si="13"/>
        <v>6.215277777777739E-2</v>
      </c>
      <c r="C76" s="49">
        <f>C75</f>
        <v>0.8156249999999996</v>
      </c>
      <c r="D76" s="96">
        <v>4.9768518518518521E-3</v>
      </c>
      <c r="E76" s="49">
        <f t="shared" si="11"/>
        <v>0.82060185185185142</v>
      </c>
      <c r="F76" s="18" t="s">
        <v>1011</v>
      </c>
      <c r="G76" s="18" t="s">
        <v>266</v>
      </c>
      <c r="H76" s="18"/>
      <c r="I76" s="38" t="s">
        <v>254</v>
      </c>
      <c r="J76" s="18" t="s">
        <v>1000</v>
      </c>
      <c r="K76" s="91"/>
      <c r="L76" s="105">
        <f t="shared" si="9"/>
        <v>0.8156249999999996</v>
      </c>
      <c r="M76" s="105">
        <f t="shared" si="10"/>
        <v>0.82060185185185142</v>
      </c>
      <c r="N76" s="38" t="s">
        <v>255</v>
      </c>
      <c r="O76" s="38" t="s">
        <v>256</v>
      </c>
      <c r="P76" s="38" t="s">
        <v>256</v>
      </c>
      <c r="Q76" s="38" t="s">
        <v>256</v>
      </c>
      <c r="R76" s="38"/>
      <c r="T76" s="4"/>
      <c r="U76" s="4"/>
    </row>
    <row r="77" spans="1:21" x14ac:dyDescent="0.2">
      <c r="A77" s="48" t="s">
        <v>279</v>
      </c>
      <c r="B77" s="49">
        <f t="shared" si="13"/>
        <v>6.7129629629629206E-2</v>
      </c>
      <c r="C77" s="49">
        <f t="shared" si="12"/>
        <v>0.82060185185185142</v>
      </c>
      <c r="D77" s="96">
        <v>4.9768518518518521E-3</v>
      </c>
      <c r="E77" s="49">
        <f t="shared" si="11"/>
        <v>0.82557870370370323</v>
      </c>
      <c r="F77" s="18" t="s">
        <v>1012</v>
      </c>
      <c r="G77" s="18" t="s">
        <v>266</v>
      </c>
      <c r="H77" s="18"/>
      <c r="I77" s="38" t="s">
        <v>254</v>
      </c>
      <c r="J77" s="18" t="s">
        <v>1000</v>
      </c>
      <c r="K77" s="91"/>
      <c r="L77" s="105">
        <f t="shared" si="9"/>
        <v>0.82060185185185142</v>
      </c>
      <c r="M77" s="105">
        <f t="shared" si="10"/>
        <v>0.82557870370370323</v>
      </c>
      <c r="N77" s="38" t="s">
        <v>255</v>
      </c>
      <c r="O77" s="38" t="s">
        <v>256</v>
      </c>
      <c r="P77" s="38" t="s">
        <v>256</v>
      </c>
      <c r="Q77" s="38" t="s">
        <v>256</v>
      </c>
      <c r="R77" s="38"/>
      <c r="T77" s="4"/>
      <c r="U77" s="4"/>
    </row>
    <row r="78" spans="1:21" x14ac:dyDescent="0.2">
      <c r="A78" s="48" t="s">
        <v>279</v>
      </c>
      <c r="B78" s="49">
        <f t="shared" si="13"/>
        <v>7.2106481481481022E-2</v>
      </c>
      <c r="C78" s="49">
        <f t="shared" si="12"/>
        <v>0.82557870370370323</v>
      </c>
      <c r="D78" s="96">
        <v>4.9768518518518521E-3</v>
      </c>
      <c r="E78" s="49">
        <f t="shared" si="11"/>
        <v>0.83055555555555505</v>
      </c>
      <c r="F78" s="18" t="s">
        <v>1013</v>
      </c>
      <c r="G78" s="18" t="s">
        <v>266</v>
      </c>
      <c r="H78" s="18"/>
      <c r="I78" s="38" t="s">
        <v>254</v>
      </c>
      <c r="J78" s="18" t="s">
        <v>1000</v>
      </c>
      <c r="K78" s="91"/>
      <c r="L78" s="105">
        <f t="shared" si="9"/>
        <v>0.82557870370370323</v>
      </c>
      <c r="M78" s="105">
        <f t="shared" si="10"/>
        <v>0.83055555555555505</v>
      </c>
      <c r="N78" s="38" t="s">
        <v>255</v>
      </c>
      <c r="O78" s="38" t="s">
        <v>256</v>
      </c>
      <c r="P78" s="38" t="s">
        <v>256</v>
      </c>
      <c r="Q78" s="38" t="s">
        <v>256</v>
      </c>
      <c r="R78" s="38"/>
      <c r="T78" s="4"/>
      <c r="U78" s="4"/>
    </row>
    <row r="79" spans="1:21" x14ac:dyDescent="0.2">
      <c r="A79" s="48" t="s">
        <v>279</v>
      </c>
      <c r="B79" s="49">
        <f t="shared" si="13"/>
        <v>7.7083333333332837E-2</v>
      </c>
      <c r="C79" s="49">
        <f t="shared" si="12"/>
        <v>0.83055555555555505</v>
      </c>
      <c r="D79" s="96">
        <v>4.9768518518518521E-3</v>
      </c>
      <c r="E79" s="49">
        <f t="shared" si="11"/>
        <v>0.83553240740740686</v>
      </c>
      <c r="F79" s="18" t="s">
        <v>1014</v>
      </c>
      <c r="G79" s="18" t="s">
        <v>266</v>
      </c>
      <c r="H79" s="18"/>
      <c r="I79" s="38" t="s">
        <v>254</v>
      </c>
      <c r="J79" s="18" t="s">
        <v>1000</v>
      </c>
      <c r="K79" s="91"/>
      <c r="L79" s="105">
        <f t="shared" si="9"/>
        <v>0.83055555555555505</v>
      </c>
      <c r="M79" s="105">
        <f t="shared" si="10"/>
        <v>0.83553240740740686</v>
      </c>
      <c r="N79" s="38" t="s">
        <v>255</v>
      </c>
      <c r="O79" s="38" t="s">
        <v>256</v>
      </c>
      <c r="P79" s="38" t="s">
        <v>256</v>
      </c>
      <c r="Q79" s="38" t="s">
        <v>256</v>
      </c>
      <c r="R79" s="38"/>
      <c r="T79" s="4"/>
      <c r="U79" s="4"/>
    </row>
    <row r="80" spans="1:21" x14ac:dyDescent="0.2">
      <c r="A80" s="48" t="s">
        <v>279</v>
      </c>
      <c r="B80" s="49">
        <f t="shared" si="13"/>
        <v>8.2060185185184653E-2</v>
      </c>
      <c r="C80" s="49">
        <f t="shared" si="12"/>
        <v>0.83553240740740686</v>
      </c>
      <c r="D80" s="96">
        <v>4.9768518518518521E-3</v>
      </c>
      <c r="E80" s="49">
        <f t="shared" si="11"/>
        <v>0.84050925925925868</v>
      </c>
      <c r="F80" s="18" t="s">
        <v>1015</v>
      </c>
      <c r="G80" s="18" t="s">
        <v>266</v>
      </c>
      <c r="H80" s="18"/>
      <c r="I80" s="38" t="s">
        <v>254</v>
      </c>
      <c r="J80" s="18" t="s">
        <v>1000</v>
      </c>
      <c r="K80" s="91"/>
      <c r="L80" s="105">
        <f t="shared" si="9"/>
        <v>0.83553240740740686</v>
      </c>
      <c r="M80" s="105">
        <f t="shared" si="10"/>
        <v>0.84050925925925868</v>
      </c>
      <c r="N80" s="38" t="s">
        <v>255</v>
      </c>
      <c r="O80" s="38" t="s">
        <v>256</v>
      </c>
      <c r="P80" s="38" t="s">
        <v>256</v>
      </c>
      <c r="Q80" s="38" t="s">
        <v>256</v>
      </c>
      <c r="R80" s="38"/>
      <c r="T80" s="4"/>
      <c r="U80" s="4"/>
    </row>
    <row r="81" spans="1:22" x14ac:dyDescent="0.2">
      <c r="A81" s="48" t="s">
        <v>279</v>
      </c>
      <c r="B81" s="49">
        <f t="shared" si="13"/>
        <v>8.7037037037036469E-2</v>
      </c>
      <c r="C81" s="49">
        <f t="shared" si="12"/>
        <v>0.84050925925925868</v>
      </c>
      <c r="D81" s="96">
        <v>3.472222222222222E-3</v>
      </c>
      <c r="E81" s="49">
        <f t="shared" si="11"/>
        <v>0.84398148148148089</v>
      </c>
      <c r="F81" s="18" t="s">
        <v>931</v>
      </c>
      <c r="G81" s="18" t="s">
        <v>266</v>
      </c>
      <c r="H81" s="18"/>
      <c r="I81" s="38" t="s">
        <v>254</v>
      </c>
      <c r="J81" s="18" t="s">
        <v>1000</v>
      </c>
      <c r="K81" s="90"/>
      <c r="L81" s="105">
        <f t="shared" si="9"/>
        <v>0.84050925925925868</v>
      </c>
      <c r="M81" s="105">
        <f t="shared" si="10"/>
        <v>0.84398148148148089</v>
      </c>
      <c r="N81" s="38" t="s">
        <v>255</v>
      </c>
      <c r="O81" s="38" t="s">
        <v>256</v>
      </c>
      <c r="P81" s="38"/>
      <c r="Q81" s="38" t="s">
        <v>256</v>
      </c>
      <c r="R81" s="38"/>
      <c r="T81" s="4"/>
      <c r="U81" s="4"/>
    </row>
    <row r="82" spans="1:22" x14ac:dyDescent="0.2">
      <c r="A82" s="48" t="s">
        <v>279</v>
      </c>
      <c r="B82" s="49">
        <f t="shared" si="13"/>
        <v>9.0509259259258679E-2</v>
      </c>
      <c r="C82" s="49">
        <f t="shared" si="12"/>
        <v>0.84398148148148089</v>
      </c>
      <c r="D82" s="96">
        <v>5.3240740740740748E-3</v>
      </c>
      <c r="E82" s="49">
        <f t="shared" si="11"/>
        <v>0.84930555555555498</v>
      </c>
      <c r="F82" s="18" t="s">
        <v>1016</v>
      </c>
      <c r="G82" s="18" t="s">
        <v>266</v>
      </c>
      <c r="H82" s="18"/>
      <c r="I82" s="38" t="s">
        <v>254</v>
      </c>
      <c r="J82" s="18" t="s">
        <v>1000</v>
      </c>
      <c r="K82" s="91" t="s">
        <v>1017</v>
      </c>
      <c r="L82" s="105">
        <f t="shared" si="9"/>
        <v>0.84398148148148089</v>
      </c>
      <c r="M82" s="105">
        <f t="shared" si="10"/>
        <v>0.84930555555555498</v>
      </c>
      <c r="N82" s="38"/>
      <c r="O82" s="38" t="s">
        <v>256</v>
      </c>
      <c r="P82" s="38" t="s">
        <v>256</v>
      </c>
      <c r="Q82" s="38" t="s">
        <v>256</v>
      </c>
      <c r="R82" s="38"/>
      <c r="T82" s="4"/>
      <c r="U82" s="4"/>
    </row>
    <row r="83" spans="1:22" x14ac:dyDescent="0.2">
      <c r="A83" s="48" t="s">
        <v>279</v>
      </c>
      <c r="B83" s="49">
        <f t="shared" si="13"/>
        <v>9.5833333333332771E-2</v>
      </c>
      <c r="C83" s="49">
        <f t="shared" si="12"/>
        <v>0.84930555555555498</v>
      </c>
      <c r="D83" s="96">
        <v>5.6712962962962958E-3</v>
      </c>
      <c r="E83" s="49">
        <f t="shared" si="11"/>
        <v>0.85497685185185124</v>
      </c>
      <c r="F83" s="18" t="s">
        <v>1018</v>
      </c>
      <c r="G83" s="18" t="s">
        <v>266</v>
      </c>
      <c r="H83" s="18"/>
      <c r="I83" s="38" t="s">
        <v>254</v>
      </c>
      <c r="J83" s="18" t="s">
        <v>1000</v>
      </c>
      <c r="K83" s="91" t="s">
        <v>1019</v>
      </c>
      <c r="L83" s="105">
        <f t="shared" si="9"/>
        <v>0.84930555555555498</v>
      </c>
      <c r="M83" s="105">
        <f t="shared" si="10"/>
        <v>0.85497685185185124</v>
      </c>
      <c r="N83" s="38"/>
      <c r="O83" s="38" t="s">
        <v>256</v>
      </c>
      <c r="P83" s="38" t="s">
        <v>256</v>
      </c>
      <c r="Q83" s="38" t="s">
        <v>256</v>
      </c>
      <c r="R83" s="38"/>
      <c r="T83" s="4"/>
      <c r="U83" s="4"/>
    </row>
    <row r="84" spans="1:22" s="1" customFormat="1" x14ac:dyDescent="0.2">
      <c r="A84" s="80" t="s">
        <v>279</v>
      </c>
      <c r="B84" s="78">
        <f t="shared" si="13"/>
        <v>0.11111111111111116</v>
      </c>
      <c r="C84" s="78">
        <v>0.86458333333333337</v>
      </c>
      <c r="D84" s="81"/>
      <c r="E84" s="81"/>
      <c r="F84" s="33" t="s">
        <v>62</v>
      </c>
      <c r="G84" s="81"/>
      <c r="H84" s="81"/>
      <c r="I84" s="80" t="s">
        <v>254</v>
      </c>
      <c r="J84" s="81"/>
      <c r="K84" s="81"/>
      <c r="L84" s="109">
        <f t="shared" si="9"/>
        <v>0.86458333333333337</v>
      </c>
      <c r="M84" s="109"/>
      <c r="N84" s="80"/>
      <c r="O84" s="80" t="s">
        <v>256</v>
      </c>
      <c r="P84" s="80" t="s">
        <v>256</v>
      </c>
      <c r="Q84" s="80" t="s">
        <v>256</v>
      </c>
      <c r="R84" s="80" t="s">
        <v>256</v>
      </c>
      <c r="T84" s="73"/>
      <c r="U84" s="73"/>
      <c r="V84" s="74"/>
    </row>
    <row r="85" spans="1:22" x14ac:dyDescent="0.2">
      <c r="A85" s="48"/>
      <c r="B85" s="49">
        <f t="shared" ref="B85:B92" si="14">C85-$C$62</f>
        <v>0.11250000000000004</v>
      </c>
      <c r="C85" s="49">
        <v>0.86458333333333337</v>
      </c>
      <c r="D85" s="35"/>
      <c r="E85" s="35"/>
      <c r="F85" s="47" t="s">
        <v>65</v>
      </c>
      <c r="G85" s="18"/>
      <c r="H85" s="18"/>
      <c r="I85" s="38" t="s">
        <v>254</v>
      </c>
      <c r="J85" s="37"/>
      <c r="K85" s="37"/>
      <c r="L85" s="37"/>
      <c r="M85" s="37"/>
      <c r="N85" s="38"/>
      <c r="O85" s="38"/>
      <c r="P85" s="38"/>
      <c r="Q85" s="38"/>
      <c r="R85" s="38" t="s">
        <v>256</v>
      </c>
      <c r="T85" s="4"/>
      <c r="U85" s="4"/>
    </row>
    <row r="86" spans="1:22" x14ac:dyDescent="0.2">
      <c r="A86" s="48"/>
      <c r="B86" s="49">
        <f t="shared" si="14"/>
        <v>0.11250000000000004</v>
      </c>
      <c r="C86" s="49">
        <v>0.86458333333333337</v>
      </c>
      <c r="D86" s="35"/>
      <c r="E86" s="35"/>
      <c r="F86" s="18" t="s">
        <v>362</v>
      </c>
      <c r="G86" s="18"/>
      <c r="H86" s="18"/>
      <c r="I86" s="38" t="s">
        <v>254</v>
      </c>
      <c r="J86" s="37"/>
      <c r="K86" s="37"/>
      <c r="L86" s="37"/>
      <c r="M86" s="37"/>
      <c r="N86" s="38"/>
      <c r="O86" s="38"/>
      <c r="P86" s="38"/>
      <c r="Q86" s="38"/>
      <c r="R86" s="38"/>
      <c r="T86" s="4"/>
      <c r="U86" s="4"/>
    </row>
    <row r="87" spans="1:22" x14ac:dyDescent="0.2">
      <c r="A87" s="48"/>
      <c r="B87" s="49">
        <f t="shared" si="14"/>
        <v>0.11597222222222214</v>
      </c>
      <c r="C87" s="49">
        <v>0.86805555555555547</v>
      </c>
      <c r="D87" s="35"/>
      <c r="E87" s="35"/>
      <c r="F87" s="47" t="s">
        <v>412</v>
      </c>
      <c r="G87" s="18"/>
      <c r="H87" s="18"/>
      <c r="I87" s="38" t="s">
        <v>254</v>
      </c>
      <c r="J87" s="37"/>
      <c r="K87" s="37"/>
      <c r="L87" s="37"/>
      <c r="M87" s="37"/>
      <c r="N87" s="38"/>
      <c r="O87" s="38"/>
      <c r="P87" s="38"/>
      <c r="Q87" s="38"/>
      <c r="R87" s="38"/>
      <c r="T87" s="4"/>
      <c r="U87" s="4"/>
    </row>
    <row r="88" spans="1:22" x14ac:dyDescent="0.2">
      <c r="A88" s="48"/>
      <c r="B88" s="49">
        <f>C88-$C$62</f>
        <v>0.12291666666666667</v>
      </c>
      <c r="C88" s="49">
        <v>0.875</v>
      </c>
      <c r="D88" s="35"/>
      <c r="E88" s="35"/>
      <c r="F88" s="47" t="s">
        <v>361</v>
      </c>
      <c r="G88" s="18"/>
      <c r="H88" s="18"/>
      <c r="I88" s="38" t="s">
        <v>254</v>
      </c>
      <c r="J88" s="37"/>
      <c r="K88" s="37"/>
      <c r="L88" s="37"/>
      <c r="M88" s="37"/>
      <c r="N88" s="38"/>
      <c r="O88" s="38"/>
      <c r="P88" s="38"/>
      <c r="Q88" s="38"/>
      <c r="R88" s="38"/>
      <c r="T88" s="4"/>
      <c r="U88" s="4"/>
    </row>
    <row r="89" spans="1:22" x14ac:dyDescent="0.2">
      <c r="A89" s="48"/>
      <c r="B89" s="49">
        <f t="shared" si="14"/>
        <v>0.1333333333333333</v>
      </c>
      <c r="C89" s="49">
        <v>0.88541666666666663</v>
      </c>
      <c r="D89" s="35"/>
      <c r="E89" s="35"/>
      <c r="F89" s="20" t="s">
        <v>67</v>
      </c>
      <c r="G89" s="18"/>
      <c r="H89" s="18"/>
      <c r="I89" s="38" t="s">
        <v>254</v>
      </c>
      <c r="J89" s="37"/>
      <c r="K89" s="37"/>
      <c r="L89" s="37"/>
      <c r="M89" s="37"/>
      <c r="N89" s="38"/>
      <c r="O89" s="38"/>
      <c r="P89" s="38"/>
      <c r="Q89" s="38"/>
      <c r="R89" s="38" t="s">
        <v>256</v>
      </c>
      <c r="T89" s="4"/>
      <c r="U89" s="4"/>
    </row>
    <row r="90" spans="1:22" x14ac:dyDescent="0.2">
      <c r="A90" s="48"/>
      <c r="B90" s="49">
        <f t="shared" si="14"/>
        <v>0.1333333333333333</v>
      </c>
      <c r="C90" s="95">
        <v>0.88541666666666663</v>
      </c>
      <c r="D90" s="35"/>
      <c r="E90" s="35"/>
      <c r="F90" s="47" t="s">
        <v>413</v>
      </c>
      <c r="G90" s="18"/>
      <c r="H90" s="18"/>
      <c r="I90" s="38" t="s">
        <v>254</v>
      </c>
      <c r="J90" s="37"/>
      <c r="K90" s="37"/>
      <c r="L90" s="37"/>
      <c r="M90" s="37"/>
      <c r="N90" s="38"/>
      <c r="O90" s="38"/>
      <c r="P90" s="38"/>
      <c r="Q90" s="38"/>
      <c r="R90" s="38"/>
      <c r="T90" s="4"/>
      <c r="U90" s="4"/>
    </row>
    <row r="91" spans="1:22" x14ac:dyDescent="0.2">
      <c r="A91" s="48"/>
      <c r="B91" s="49">
        <f t="shared" si="14"/>
        <v>0.1645833333333333</v>
      </c>
      <c r="C91" s="97">
        <v>0.91666666666666663</v>
      </c>
      <c r="D91" s="35"/>
      <c r="E91" s="35"/>
      <c r="F91" s="18" t="s">
        <v>414</v>
      </c>
      <c r="G91" s="18"/>
      <c r="H91" s="18"/>
      <c r="I91" s="38" t="s">
        <v>254</v>
      </c>
      <c r="J91" s="37"/>
      <c r="K91" s="37"/>
      <c r="L91" s="37"/>
      <c r="M91" s="37"/>
      <c r="N91" s="38"/>
      <c r="O91" s="38"/>
      <c r="P91" s="38"/>
      <c r="Q91" s="38"/>
      <c r="R91" s="38" t="s">
        <v>256</v>
      </c>
      <c r="T91" s="4"/>
      <c r="U91" s="4"/>
    </row>
    <row r="92" spans="1:22" x14ac:dyDescent="0.2">
      <c r="A92" s="48"/>
      <c r="B92" s="49">
        <f t="shared" si="14"/>
        <v>0.18541666666666667</v>
      </c>
      <c r="C92" s="97">
        <v>0.9375</v>
      </c>
      <c r="D92" s="35"/>
      <c r="E92" s="35"/>
      <c r="F92" s="18" t="s">
        <v>415</v>
      </c>
      <c r="G92" s="18"/>
      <c r="H92" s="18"/>
      <c r="I92" s="38" t="s">
        <v>254</v>
      </c>
      <c r="J92" s="37"/>
      <c r="K92" s="37"/>
      <c r="L92" s="37"/>
      <c r="M92" s="37"/>
      <c r="N92" s="38"/>
      <c r="O92" s="38"/>
      <c r="P92" s="38"/>
      <c r="Q92" s="38"/>
      <c r="R92" s="38" t="s">
        <v>256</v>
      </c>
      <c r="T92" s="4"/>
      <c r="U92" s="4"/>
    </row>
    <row r="93" spans="1:22" x14ac:dyDescent="0.2">
      <c r="T93" s="4"/>
      <c r="U93" s="4"/>
    </row>
    <row r="94" spans="1:22" x14ac:dyDescent="0.2">
      <c r="T94" s="4"/>
      <c r="U94" s="4"/>
    </row>
    <row r="95" spans="1:22" x14ac:dyDescent="0.2">
      <c r="T95" s="4"/>
      <c r="U95" s="4"/>
    </row>
    <row r="96" spans="1:22" x14ac:dyDescent="0.2">
      <c r="T96" s="4"/>
      <c r="U96" s="4"/>
    </row>
    <row r="97" spans="20:21" x14ac:dyDescent="0.2">
      <c r="T97" s="4"/>
      <c r="U97" s="4"/>
    </row>
    <row r="98" spans="20:21" x14ac:dyDescent="0.2">
      <c r="T98" s="4"/>
      <c r="U98" s="4"/>
    </row>
    <row r="99" spans="20:21" x14ac:dyDescent="0.2">
      <c r="T99" s="4"/>
      <c r="U99" s="4"/>
    </row>
    <row r="100" spans="20:21" x14ac:dyDescent="0.2">
      <c r="T100" s="4"/>
      <c r="U100" s="4"/>
    </row>
    <row r="101" spans="20:21" x14ac:dyDescent="0.2">
      <c r="T101" s="4"/>
      <c r="U101" s="4"/>
    </row>
    <row r="102" spans="20:21" x14ac:dyDescent="0.2">
      <c r="T102" s="4"/>
      <c r="U102" s="4"/>
    </row>
    <row r="103" spans="20:21" x14ac:dyDescent="0.2">
      <c r="T103" s="4"/>
      <c r="U103" s="4"/>
    </row>
    <row r="104" spans="20:21" x14ac:dyDescent="0.2">
      <c r="T104" s="4"/>
      <c r="U104" s="4"/>
    </row>
    <row r="105" spans="20:21" x14ac:dyDescent="0.2">
      <c r="T105" s="4"/>
      <c r="U105" s="4"/>
    </row>
    <row r="106" spans="20:21" x14ac:dyDescent="0.2">
      <c r="T106" s="4"/>
      <c r="U106" s="4"/>
    </row>
    <row r="107" spans="20:21" x14ac:dyDescent="0.2">
      <c r="T107" s="4"/>
      <c r="U107" s="4"/>
    </row>
    <row r="108" spans="20:21" x14ac:dyDescent="0.2">
      <c r="T108" s="4"/>
      <c r="U108" s="4"/>
    </row>
    <row r="109" spans="20:21" x14ac:dyDescent="0.2">
      <c r="T109" s="4"/>
      <c r="U109" s="4"/>
    </row>
    <row r="110" spans="20:21" x14ac:dyDescent="0.2">
      <c r="T110" s="4"/>
      <c r="U110" s="4"/>
    </row>
    <row r="111" spans="20:21" x14ac:dyDescent="0.2">
      <c r="T111" s="4"/>
      <c r="U111" s="4"/>
    </row>
    <row r="112" spans="20:21" x14ac:dyDescent="0.2">
      <c r="T112" s="4"/>
      <c r="U112" s="4"/>
    </row>
    <row r="113" spans="20:21" x14ac:dyDescent="0.2">
      <c r="T113" s="4"/>
      <c r="U113" s="4"/>
    </row>
    <row r="114" spans="20:21" x14ac:dyDescent="0.2">
      <c r="T114" s="4"/>
      <c r="U114" s="4"/>
    </row>
    <row r="115" spans="20:21" x14ac:dyDescent="0.2">
      <c r="T115" s="4"/>
      <c r="U115" s="4"/>
    </row>
    <row r="116" spans="20:21" x14ac:dyDescent="0.2">
      <c r="T116" s="4"/>
      <c r="U116" s="4"/>
    </row>
    <row r="117" spans="20:21" x14ac:dyDescent="0.2">
      <c r="T117" s="4"/>
      <c r="U117" s="4"/>
    </row>
    <row r="118" spans="20:21" x14ac:dyDescent="0.2">
      <c r="T118" s="4"/>
      <c r="U118" s="4"/>
    </row>
    <row r="119" spans="20:21" x14ac:dyDescent="0.2">
      <c r="T119" s="4"/>
      <c r="U119" s="4"/>
    </row>
    <row r="120" spans="20:21" x14ac:dyDescent="0.2">
      <c r="T120" s="4"/>
      <c r="U120" s="4"/>
    </row>
    <row r="121" spans="20:21" x14ac:dyDescent="0.2">
      <c r="T121" s="4"/>
      <c r="U121" s="4"/>
    </row>
    <row r="122" spans="20:21" x14ac:dyDescent="0.2">
      <c r="T122" s="4"/>
      <c r="U122" s="4"/>
    </row>
    <row r="123" spans="20:21" x14ac:dyDescent="0.2">
      <c r="T123" s="4"/>
      <c r="U123" s="4"/>
    </row>
  </sheetData>
  <sheetProtection algorithmName="SHA-512" hashValue="PteWwPBQoi2lpxTSmS7m/+qPQO+Op8hc6SyZudMlJ+Ol4w1HPBSG6tFgyZ0e8wYhelDgdYOuzoJ2vf3uiVMzRg==" saltValue="S6QbVtsr8MCadmqlYYwfWg==" spinCount="100000" sheet="1" objects="1" scenarios="1"/>
  <mergeCells count="9">
    <mergeCell ref="K2:N2"/>
    <mergeCell ref="O2:R2"/>
    <mergeCell ref="B1:R1"/>
    <mergeCell ref="A2:E2"/>
    <mergeCell ref="F2:F3"/>
    <mergeCell ref="G2:G3"/>
    <mergeCell ref="H2:H3"/>
    <mergeCell ref="I2:I3"/>
    <mergeCell ref="J2:J3"/>
  </mergeCells>
  <phoneticPr fontId="2" type="noConversion"/>
  <dataValidations count="1">
    <dataValidation type="list" allowBlank="1" showInputMessage="1" showErrorMessage="1" sqref="T3" xr:uid="{C9AE4563-A37F-4829-BC1B-B86AF724876D}">
      <formula1>"SCM,BRD,CER"</formula1>
    </dataValidation>
  </dataValidations>
  <pageMargins left="0.7" right="0.7" top="0.75" bottom="0.75" header="0.3" footer="0.3"/>
  <pageSetup paperSize="8" scale="59" fitToHeight="0" orientation="landscape" r:id="rId1"/>
  <headerFooter>
    <oddHeader>&amp;C&amp;"Calibri"&amp;10&amp;K000000 Official&amp;1#_x000D_</oddHeader>
    <oddFooter>&amp;C_x000D_&amp;1#&amp;"Calibri"&amp;10&amp;K000000 Official</oddFooter>
  </headerFooter>
  <ignoredErrors>
    <ignoredError sqref="D25 D36 D75 D64" formulaRange="1"/>
    <ignoredError sqref="C37 C76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E018-48A5-4262-8735-2F3409AC10A2}">
  <sheetPr>
    <tabColor rgb="FFF71EE5"/>
    <pageSetUpPr fitToPage="1"/>
  </sheetPr>
  <dimension ref="A1:V121"/>
  <sheetViews>
    <sheetView topLeftCell="A58" zoomScale="80" zoomScaleNormal="80" workbookViewId="0">
      <selection activeCell="C43" sqref="C43"/>
    </sheetView>
  </sheetViews>
  <sheetFormatPr defaultColWidth="9" defaultRowHeight="14.25" x14ac:dyDescent="0.2"/>
  <cols>
    <col min="2" max="2" width="15" customWidth="1"/>
    <col min="3" max="3" width="10.375" bestFit="1" customWidth="1"/>
    <col min="4" max="4" width="12.125" customWidth="1"/>
    <col min="5" max="5" width="11" customWidth="1"/>
    <col min="6" max="6" width="59.625" customWidth="1"/>
    <col min="7" max="7" width="24.125" customWidth="1"/>
    <col min="8" max="8" width="18.125" customWidth="1"/>
    <col min="9" max="9" width="15.875" style="2" bestFit="1" customWidth="1"/>
    <col min="10" max="10" width="9.125" bestFit="1" customWidth="1"/>
    <col min="11" max="11" width="42.125" bestFit="1" customWidth="1"/>
    <col min="12" max="13" width="11.625" customWidth="1"/>
    <col min="14" max="14" width="11.625" style="2" customWidth="1"/>
    <col min="22" max="22" width="9" style="5"/>
    <col min="23" max="23" width="16.125" bestFit="1" customWidth="1"/>
    <col min="25" max="25" width="15.125" customWidth="1"/>
  </cols>
  <sheetData>
    <row r="1" spans="1:22" x14ac:dyDescent="0.2">
      <c r="A1" s="18"/>
      <c r="B1" s="119" t="s">
        <v>1020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</row>
    <row r="2" spans="1:22" x14ac:dyDescent="0.2">
      <c r="A2" s="121" t="s">
        <v>250</v>
      </c>
      <c r="B2" s="121"/>
      <c r="C2" s="121"/>
      <c r="D2" s="121"/>
      <c r="E2" s="121"/>
      <c r="F2" s="119" t="s">
        <v>10</v>
      </c>
      <c r="G2" s="119" t="s">
        <v>11</v>
      </c>
      <c r="H2" s="119" t="s">
        <v>13</v>
      </c>
      <c r="I2" s="120" t="s">
        <v>15</v>
      </c>
      <c r="J2" s="119" t="s">
        <v>17</v>
      </c>
      <c r="K2" s="119" t="s">
        <v>26</v>
      </c>
      <c r="L2" s="119"/>
      <c r="M2" s="119"/>
      <c r="N2" s="119"/>
      <c r="O2" s="119" t="s">
        <v>34</v>
      </c>
      <c r="P2" s="119"/>
      <c r="Q2" s="119"/>
      <c r="R2" s="119"/>
    </row>
    <row r="3" spans="1:22" x14ac:dyDescent="0.2">
      <c r="A3" s="29" t="s">
        <v>0</v>
      </c>
      <c r="B3" s="30" t="s">
        <v>2</v>
      </c>
      <c r="C3" s="30" t="s">
        <v>4</v>
      </c>
      <c r="D3" s="30" t="s">
        <v>6</v>
      </c>
      <c r="E3" s="30" t="s">
        <v>8</v>
      </c>
      <c r="F3" s="119"/>
      <c r="G3" s="119"/>
      <c r="H3" s="119"/>
      <c r="I3" s="120"/>
      <c r="J3" s="119"/>
      <c r="K3" s="7" t="s">
        <v>27</v>
      </c>
      <c r="L3" s="7" t="s">
        <v>4</v>
      </c>
      <c r="M3" s="7" t="s">
        <v>30</v>
      </c>
      <c r="N3" s="28" t="s">
        <v>32</v>
      </c>
      <c r="O3" s="28" t="s">
        <v>35</v>
      </c>
      <c r="P3" s="28" t="s">
        <v>37</v>
      </c>
      <c r="Q3" s="28" t="s">
        <v>39</v>
      </c>
      <c r="R3" s="28" t="s">
        <v>41</v>
      </c>
      <c r="T3" s="3" t="s">
        <v>251</v>
      </c>
    </row>
    <row r="4" spans="1:22" x14ac:dyDescent="0.2">
      <c r="A4" s="48" t="s">
        <v>252</v>
      </c>
      <c r="B4" s="49">
        <f t="shared" ref="B4:B20" si="0">$C$24-C4</f>
        <v>0.21180555555555555</v>
      </c>
      <c r="C4" s="49">
        <v>0.20833333333333334</v>
      </c>
      <c r="D4" s="35"/>
      <c r="E4" s="35"/>
      <c r="F4" s="36" t="s">
        <v>253</v>
      </c>
      <c r="G4" s="18"/>
      <c r="H4" s="18"/>
      <c r="I4" s="38" t="s">
        <v>254</v>
      </c>
      <c r="J4" s="37"/>
      <c r="K4" s="37"/>
      <c r="L4" s="37"/>
      <c r="M4" s="37"/>
      <c r="N4" s="38"/>
      <c r="O4" s="38"/>
      <c r="P4" s="38"/>
      <c r="Q4" s="38"/>
      <c r="R4" s="38" t="s">
        <v>256</v>
      </c>
    </row>
    <row r="5" spans="1:22" x14ac:dyDescent="0.2">
      <c r="A5" s="48" t="s">
        <v>252</v>
      </c>
      <c r="B5" s="49">
        <f t="shared" si="0"/>
        <v>0.19097222222222224</v>
      </c>
      <c r="C5" s="49">
        <v>0.22916666666666666</v>
      </c>
      <c r="D5" s="35"/>
      <c r="E5" s="35"/>
      <c r="F5" s="39" t="s">
        <v>257</v>
      </c>
      <c r="G5" s="18"/>
      <c r="H5" s="18"/>
      <c r="I5" s="38" t="s">
        <v>254</v>
      </c>
      <c r="J5" s="37"/>
      <c r="K5" s="37"/>
      <c r="L5" s="37"/>
      <c r="M5" s="37"/>
      <c r="N5" s="38"/>
      <c r="O5" s="38"/>
      <c r="P5" s="38"/>
      <c r="Q5" s="38"/>
      <c r="R5" s="38"/>
    </row>
    <row r="6" spans="1:22" x14ac:dyDescent="0.2">
      <c r="A6" s="48" t="s">
        <v>252</v>
      </c>
      <c r="B6" s="49">
        <f t="shared" si="0"/>
        <v>0.12847222222222221</v>
      </c>
      <c r="C6" s="95">
        <v>0.29166666666666669</v>
      </c>
      <c r="D6" s="35"/>
      <c r="E6" s="35"/>
      <c r="F6" s="18" t="s">
        <v>267</v>
      </c>
      <c r="G6" s="18"/>
      <c r="H6" s="18"/>
      <c r="I6" s="38" t="s">
        <v>254</v>
      </c>
      <c r="J6" s="37"/>
      <c r="K6" s="37"/>
      <c r="L6" s="37"/>
      <c r="M6" s="37"/>
      <c r="N6" s="38"/>
      <c r="O6" s="38"/>
      <c r="P6" s="38"/>
      <c r="Q6" s="38"/>
      <c r="R6" s="38"/>
      <c r="T6" s="4"/>
      <c r="U6" s="4"/>
    </row>
    <row r="7" spans="1:22" x14ac:dyDescent="0.2">
      <c r="A7" s="48" t="s">
        <v>252</v>
      </c>
      <c r="B7" s="49">
        <f t="shared" si="0"/>
        <v>0.19097222222222224</v>
      </c>
      <c r="C7" s="49">
        <v>0.22916666666666666</v>
      </c>
      <c r="D7" s="35"/>
      <c r="E7" s="35"/>
      <c r="F7" s="36" t="s">
        <v>258</v>
      </c>
      <c r="G7" s="18"/>
      <c r="H7" s="18"/>
      <c r="I7" s="38" t="s">
        <v>254</v>
      </c>
      <c r="J7" s="37"/>
      <c r="K7" s="37"/>
      <c r="L7" s="37"/>
      <c r="M7" s="37"/>
      <c r="N7" s="38"/>
      <c r="O7" s="38"/>
      <c r="P7" s="38"/>
      <c r="Q7" s="38"/>
      <c r="R7" s="38" t="s">
        <v>256</v>
      </c>
      <c r="T7" s="4"/>
      <c r="U7" s="4"/>
      <c r="V7" s="6"/>
    </row>
    <row r="8" spans="1:22" x14ac:dyDescent="0.2">
      <c r="A8" s="48" t="s">
        <v>252</v>
      </c>
      <c r="B8" s="49">
        <f t="shared" si="0"/>
        <v>0.16319444444444442</v>
      </c>
      <c r="C8" s="115">
        <v>0.25694444444444448</v>
      </c>
      <c r="D8" s="35"/>
      <c r="E8" s="35"/>
      <c r="F8" s="18" t="s">
        <v>891</v>
      </c>
      <c r="G8" s="18"/>
      <c r="H8" s="18"/>
      <c r="I8" s="38" t="s">
        <v>254</v>
      </c>
      <c r="J8" s="37"/>
      <c r="K8" s="37"/>
      <c r="L8" s="37"/>
      <c r="M8" s="37"/>
      <c r="N8" s="38"/>
      <c r="O8" s="38"/>
      <c r="P8" s="38"/>
      <c r="Q8" s="38"/>
      <c r="R8" s="38" t="s">
        <v>256</v>
      </c>
      <c r="T8" s="4"/>
      <c r="U8" s="4"/>
      <c r="V8" s="6"/>
    </row>
    <row r="9" spans="1:22" x14ac:dyDescent="0.2">
      <c r="A9" s="48" t="s">
        <v>252</v>
      </c>
      <c r="B9" s="49">
        <f t="shared" si="0"/>
        <v>0.14930555555555558</v>
      </c>
      <c r="C9" s="49">
        <v>0.27083333333333331</v>
      </c>
      <c r="D9" s="35"/>
      <c r="E9" s="35"/>
      <c r="F9" s="18" t="s">
        <v>262</v>
      </c>
      <c r="G9" s="18"/>
      <c r="H9" s="18"/>
      <c r="I9" s="38" t="s">
        <v>254</v>
      </c>
      <c r="J9" s="37"/>
      <c r="K9" s="37"/>
      <c r="L9" s="37"/>
      <c r="M9" s="37"/>
      <c r="N9" s="38"/>
      <c r="O9" s="38"/>
      <c r="P9" s="38"/>
      <c r="Q9" s="38"/>
      <c r="R9" s="38"/>
      <c r="T9" s="4"/>
      <c r="U9" s="4"/>
    </row>
    <row r="10" spans="1:22" x14ac:dyDescent="0.2">
      <c r="A10" s="48" t="s">
        <v>252</v>
      </c>
      <c r="B10" s="49">
        <f t="shared" si="0"/>
        <v>0.14930555555555558</v>
      </c>
      <c r="C10" s="49">
        <v>0.27083333333333331</v>
      </c>
      <c r="D10" s="49">
        <f>E10-C10</f>
        <v>6.25E-2</v>
      </c>
      <c r="E10" s="49">
        <v>0.33333333333333331</v>
      </c>
      <c r="F10" s="84" t="s">
        <v>937</v>
      </c>
      <c r="G10" s="18"/>
      <c r="H10" s="18"/>
      <c r="I10" s="38" t="s">
        <v>254</v>
      </c>
      <c r="J10" s="37"/>
      <c r="K10" s="37"/>
      <c r="L10" s="37"/>
      <c r="M10" s="37"/>
      <c r="N10" s="38"/>
      <c r="O10" s="38"/>
      <c r="P10" s="38"/>
      <c r="Q10" s="38"/>
      <c r="R10" s="38" t="s">
        <v>256</v>
      </c>
      <c r="T10" s="4"/>
      <c r="U10" s="4"/>
    </row>
    <row r="11" spans="1:22" x14ac:dyDescent="0.2">
      <c r="A11" s="48" t="s">
        <v>252</v>
      </c>
      <c r="B11" s="49">
        <f t="shared" si="0"/>
        <v>0.12847222222222221</v>
      </c>
      <c r="C11" s="49">
        <v>0.29166666666666669</v>
      </c>
      <c r="D11" s="49">
        <f>E11-C11</f>
        <v>6.25E-2</v>
      </c>
      <c r="E11" s="96">
        <v>0.35416666666666669</v>
      </c>
      <c r="F11" s="18" t="s">
        <v>938</v>
      </c>
      <c r="G11" s="18" t="s">
        <v>266</v>
      </c>
      <c r="H11" s="18"/>
      <c r="I11" s="38" t="s">
        <v>254</v>
      </c>
      <c r="J11" s="37"/>
      <c r="K11" s="37"/>
      <c r="L11" s="37"/>
      <c r="M11" s="37"/>
      <c r="N11" s="38"/>
      <c r="O11" s="38" t="s">
        <v>256</v>
      </c>
      <c r="P11" s="38"/>
      <c r="Q11" s="38"/>
      <c r="R11" s="38" t="s">
        <v>256</v>
      </c>
      <c r="T11" s="4"/>
      <c r="U11" s="4"/>
    </row>
    <row r="12" spans="1:22" x14ac:dyDescent="0.2">
      <c r="A12" s="48" t="s">
        <v>252</v>
      </c>
      <c r="B12" s="49">
        <f t="shared" si="0"/>
        <v>8.680555555555558E-2</v>
      </c>
      <c r="C12" s="96">
        <v>0.33333333333333331</v>
      </c>
      <c r="D12" s="35"/>
      <c r="E12" s="35"/>
      <c r="F12" s="20" t="s">
        <v>53</v>
      </c>
      <c r="G12" s="18"/>
      <c r="H12" s="18"/>
      <c r="I12" s="38" t="s">
        <v>254</v>
      </c>
      <c r="J12" s="37"/>
      <c r="K12" s="37"/>
      <c r="L12" s="37"/>
      <c r="M12" s="37"/>
      <c r="N12" s="38"/>
      <c r="O12" s="38"/>
      <c r="P12" s="38"/>
      <c r="Q12" s="38"/>
      <c r="R12" s="38"/>
      <c r="T12" s="4"/>
      <c r="U12" s="4"/>
    </row>
    <row r="13" spans="1:22" x14ac:dyDescent="0.2">
      <c r="A13" s="48" t="s">
        <v>252</v>
      </c>
      <c r="B13" s="49">
        <f t="shared" si="0"/>
        <v>8.680555555555558E-2</v>
      </c>
      <c r="C13" s="96">
        <v>0.33333333333333331</v>
      </c>
      <c r="D13" s="96">
        <f>E13-C13</f>
        <v>0.20833333333333331</v>
      </c>
      <c r="E13" s="96">
        <v>0.54166666666666663</v>
      </c>
      <c r="F13" s="18" t="s">
        <v>892</v>
      </c>
      <c r="G13" s="18"/>
      <c r="H13" s="18"/>
      <c r="I13" s="38" t="s">
        <v>254</v>
      </c>
      <c r="J13" s="37"/>
      <c r="K13" s="37"/>
      <c r="L13" s="37"/>
      <c r="M13" s="37"/>
      <c r="N13" s="38"/>
      <c r="O13" s="38"/>
      <c r="P13" s="38"/>
      <c r="Q13" s="38"/>
      <c r="R13" s="38"/>
      <c r="T13" s="4"/>
      <c r="U13" s="4"/>
    </row>
    <row r="14" spans="1:22" x14ac:dyDescent="0.2">
      <c r="A14" s="48" t="s">
        <v>252</v>
      </c>
      <c r="B14" s="49">
        <f t="shared" si="0"/>
        <v>6.597222222222221E-2</v>
      </c>
      <c r="C14" s="96">
        <v>0.35416666666666669</v>
      </c>
      <c r="D14" s="96">
        <f>E14-C14</f>
        <v>4.8611111111111049E-2</v>
      </c>
      <c r="E14" s="96">
        <v>0.40277777777777773</v>
      </c>
      <c r="F14" s="18" t="s">
        <v>893</v>
      </c>
      <c r="G14" s="18" t="s">
        <v>266</v>
      </c>
      <c r="H14" s="18"/>
      <c r="I14" s="38" t="s">
        <v>254</v>
      </c>
      <c r="J14" s="37"/>
      <c r="K14" s="37"/>
      <c r="L14" s="37"/>
      <c r="M14" s="37"/>
      <c r="N14" s="38"/>
      <c r="O14" s="38"/>
      <c r="P14" s="38"/>
      <c r="Q14" s="38"/>
      <c r="R14" s="38"/>
      <c r="T14" s="4"/>
      <c r="U14" s="4"/>
    </row>
    <row r="15" spans="1:22" x14ac:dyDescent="0.2">
      <c r="A15" s="48" t="s">
        <v>252</v>
      </c>
      <c r="B15" s="49">
        <f t="shared" si="0"/>
        <v>6.597222222222221E-2</v>
      </c>
      <c r="C15" s="49">
        <v>0.35416666666666669</v>
      </c>
      <c r="D15" s="35"/>
      <c r="E15" s="35"/>
      <c r="F15" s="18" t="s">
        <v>270</v>
      </c>
      <c r="G15" s="18"/>
      <c r="H15" s="18"/>
      <c r="I15" s="38" t="s">
        <v>254</v>
      </c>
      <c r="J15" s="37"/>
      <c r="K15" s="37"/>
      <c r="L15" s="37"/>
      <c r="M15" s="37"/>
      <c r="N15" s="38"/>
      <c r="O15" s="38"/>
      <c r="P15" s="38"/>
      <c r="Q15" s="38"/>
      <c r="R15" s="38" t="s">
        <v>256</v>
      </c>
      <c r="T15" s="4"/>
      <c r="U15" s="4"/>
      <c r="V15" s="6"/>
    </row>
    <row r="16" spans="1:22" x14ac:dyDescent="0.2">
      <c r="A16" s="48" t="s">
        <v>252</v>
      </c>
      <c r="B16" s="49">
        <f t="shared" si="0"/>
        <v>6.597222222222221E-2</v>
      </c>
      <c r="C16" s="49">
        <v>0.35416666666666669</v>
      </c>
      <c r="D16" s="35"/>
      <c r="E16" s="35"/>
      <c r="F16" s="18" t="s">
        <v>366</v>
      </c>
      <c r="G16" s="18"/>
      <c r="H16" s="18"/>
      <c r="I16" s="38" t="s">
        <v>254</v>
      </c>
      <c r="J16" s="37"/>
      <c r="K16" s="37"/>
      <c r="L16" s="37"/>
      <c r="M16" s="37"/>
      <c r="N16" s="38"/>
      <c r="O16" s="38"/>
      <c r="P16" s="38"/>
      <c r="Q16" s="38"/>
      <c r="R16" s="38" t="s">
        <v>256</v>
      </c>
      <c r="T16" s="4"/>
      <c r="U16" s="4"/>
    </row>
    <row r="17" spans="1:22" x14ac:dyDescent="0.2">
      <c r="A17" s="48" t="s">
        <v>252</v>
      </c>
      <c r="B17" s="49">
        <f t="shared" si="0"/>
        <v>6.597222222222221E-2</v>
      </c>
      <c r="C17" s="49">
        <v>0.35416666666666669</v>
      </c>
      <c r="D17" s="35"/>
      <c r="E17" s="35"/>
      <c r="F17" s="18" t="s">
        <v>55</v>
      </c>
      <c r="G17" s="18"/>
      <c r="H17" s="18"/>
      <c r="I17" s="38" t="s">
        <v>254</v>
      </c>
      <c r="J17" s="37"/>
      <c r="K17" s="37"/>
      <c r="L17" s="37"/>
      <c r="M17" s="37"/>
      <c r="N17" s="38"/>
      <c r="O17" s="38" t="s">
        <v>256</v>
      </c>
      <c r="P17" s="38"/>
      <c r="Q17" s="38" t="s">
        <v>256</v>
      </c>
      <c r="R17" s="38" t="s">
        <v>256</v>
      </c>
      <c r="T17" s="4"/>
      <c r="U17" s="4"/>
    </row>
    <row r="18" spans="1:22" x14ac:dyDescent="0.2">
      <c r="A18" s="48" t="s">
        <v>252</v>
      </c>
      <c r="B18" s="49">
        <f t="shared" si="0"/>
        <v>4.5138888888888895E-2</v>
      </c>
      <c r="C18" s="49">
        <v>0.375</v>
      </c>
      <c r="D18" s="35"/>
      <c r="E18" s="35"/>
      <c r="F18" s="18" t="s">
        <v>52</v>
      </c>
      <c r="G18" s="18"/>
      <c r="H18" s="18"/>
      <c r="I18" s="38" t="s">
        <v>254</v>
      </c>
      <c r="J18" s="37"/>
      <c r="K18" s="37"/>
      <c r="L18" s="37"/>
      <c r="M18" s="37"/>
      <c r="N18" s="38"/>
      <c r="O18" s="38"/>
      <c r="P18" s="38"/>
      <c r="Q18" s="38"/>
      <c r="R18" s="38"/>
      <c r="T18" s="4"/>
      <c r="U18" s="4"/>
    </row>
    <row r="19" spans="1:22" x14ac:dyDescent="0.2">
      <c r="A19" s="48" t="s">
        <v>252</v>
      </c>
      <c r="B19" s="49">
        <f t="shared" si="0"/>
        <v>1.736111111111116E-2</v>
      </c>
      <c r="C19" s="49">
        <v>0.40277777777777773</v>
      </c>
      <c r="D19" s="35"/>
      <c r="E19" s="35"/>
      <c r="F19" s="18" t="s">
        <v>273</v>
      </c>
      <c r="G19" s="18" t="s">
        <v>266</v>
      </c>
      <c r="H19" s="18"/>
      <c r="I19" s="38" t="s">
        <v>254</v>
      </c>
      <c r="J19" s="37"/>
      <c r="K19" s="37"/>
      <c r="L19" s="37"/>
      <c r="M19" s="37"/>
      <c r="N19" s="38"/>
      <c r="O19" s="38" t="s">
        <v>256</v>
      </c>
      <c r="P19" s="38"/>
      <c r="Q19" s="38" t="s">
        <v>256</v>
      </c>
      <c r="R19" s="38" t="s">
        <v>256</v>
      </c>
      <c r="T19" s="4"/>
      <c r="U19" s="4"/>
    </row>
    <row r="20" spans="1:22" x14ac:dyDescent="0.2">
      <c r="A20" s="48" t="s">
        <v>252</v>
      </c>
      <c r="B20" s="49">
        <f t="shared" si="0"/>
        <v>1.3888888888888895E-2</v>
      </c>
      <c r="C20" s="49">
        <v>0.40625</v>
      </c>
      <c r="D20" s="35"/>
      <c r="E20" s="35"/>
      <c r="F20" s="18" t="s">
        <v>56</v>
      </c>
      <c r="G20" s="18"/>
      <c r="H20" s="18"/>
      <c r="I20" s="38" t="s">
        <v>254</v>
      </c>
      <c r="J20" s="37"/>
      <c r="K20" s="37"/>
      <c r="L20" s="37"/>
      <c r="M20" s="37"/>
      <c r="N20" s="38"/>
      <c r="O20" s="38" t="s">
        <v>256</v>
      </c>
      <c r="P20" s="38"/>
      <c r="Q20" s="38" t="s">
        <v>256</v>
      </c>
      <c r="R20" s="38" t="s">
        <v>256</v>
      </c>
      <c r="T20" s="4"/>
      <c r="U20" s="4"/>
    </row>
    <row r="21" spans="1:22" s="1" customFormat="1" x14ac:dyDescent="0.2">
      <c r="A21" s="75" t="s">
        <v>252</v>
      </c>
      <c r="B21" s="77">
        <f t="shared" ref="B21:B23" si="1">$C$24-C21</f>
        <v>3.4722222222222099E-3</v>
      </c>
      <c r="C21" s="77">
        <v>0.41666666666666669</v>
      </c>
      <c r="D21" s="76"/>
      <c r="E21" s="76"/>
      <c r="F21" s="31" t="s">
        <v>57</v>
      </c>
      <c r="G21" s="76"/>
      <c r="H21" s="76"/>
      <c r="I21" s="75" t="s">
        <v>254</v>
      </c>
      <c r="J21" s="76"/>
      <c r="K21" s="76"/>
      <c r="L21" s="108">
        <f t="shared" ref="L21:L42" si="2">C21</f>
        <v>0.41666666666666669</v>
      </c>
      <c r="M21" s="108"/>
      <c r="N21" s="75"/>
      <c r="O21" s="75" t="s">
        <v>256</v>
      </c>
      <c r="P21" s="75" t="s">
        <v>256</v>
      </c>
      <c r="Q21" s="75" t="s">
        <v>256</v>
      </c>
      <c r="R21" s="75" t="s">
        <v>256</v>
      </c>
      <c r="T21" s="73"/>
      <c r="U21" s="73"/>
      <c r="V21" s="74"/>
    </row>
    <row r="22" spans="1:22" x14ac:dyDescent="0.2">
      <c r="A22" s="48" t="s">
        <v>252</v>
      </c>
      <c r="B22" s="49">
        <f t="shared" si="1"/>
        <v>3.4722222222222099E-3</v>
      </c>
      <c r="C22" s="49">
        <v>0.41666666666666669</v>
      </c>
      <c r="D22" s="49">
        <v>2.0833333333333333E-3</v>
      </c>
      <c r="E22" s="49">
        <f>C22+D22</f>
        <v>0.41875000000000001</v>
      </c>
      <c r="F22" s="20" t="s">
        <v>894</v>
      </c>
      <c r="G22" s="18" t="s">
        <v>266</v>
      </c>
      <c r="H22" s="18"/>
      <c r="I22" s="38" t="s">
        <v>254</v>
      </c>
      <c r="J22" s="18" t="s">
        <v>1021</v>
      </c>
      <c r="K22" s="37"/>
      <c r="L22" s="105">
        <f t="shared" si="2"/>
        <v>0.41666666666666669</v>
      </c>
      <c r="M22" s="105">
        <f t="shared" ref="M22:M41" si="3">E22</f>
        <v>0.41875000000000001</v>
      </c>
      <c r="N22" s="38"/>
      <c r="O22" s="38"/>
      <c r="P22" s="38"/>
      <c r="Q22" s="38"/>
      <c r="R22" s="38"/>
      <c r="T22" s="4"/>
      <c r="U22" s="4"/>
    </row>
    <row r="23" spans="1:22" x14ac:dyDescent="0.2">
      <c r="A23" s="48" t="s">
        <v>252</v>
      </c>
      <c r="B23" s="49">
        <f t="shared" si="1"/>
        <v>1.388888888888884E-3</v>
      </c>
      <c r="C23" s="49">
        <f>E22</f>
        <v>0.41875000000000001</v>
      </c>
      <c r="D23" s="49">
        <v>1.3888888888888889E-3</v>
      </c>
      <c r="E23" s="49">
        <f>C23+D23</f>
        <v>0.4201388888888889</v>
      </c>
      <c r="F23" s="18" t="s">
        <v>59</v>
      </c>
      <c r="G23" s="18" t="s">
        <v>266</v>
      </c>
      <c r="H23" s="18"/>
      <c r="I23" s="38" t="s">
        <v>254</v>
      </c>
      <c r="J23" s="18" t="s">
        <v>1021</v>
      </c>
      <c r="K23" s="37"/>
      <c r="L23" s="105">
        <f t="shared" si="2"/>
        <v>0.41875000000000001</v>
      </c>
      <c r="M23" s="105">
        <f t="shared" si="3"/>
        <v>0.4201388888888889</v>
      </c>
      <c r="N23" s="38"/>
      <c r="O23" s="38" t="s">
        <v>256</v>
      </c>
      <c r="P23" s="38" t="s">
        <v>256</v>
      </c>
      <c r="Q23" s="38" t="s">
        <v>256</v>
      </c>
      <c r="R23" s="38"/>
      <c r="T23" s="4"/>
      <c r="U23" s="4"/>
    </row>
    <row r="24" spans="1:22" s="1" customFormat="1" x14ac:dyDescent="0.2">
      <c r="A24" s="70" t="s">
        <v>279</v>
      </c>
      <c r="B24" s="72">
        <v>0</v>
      </c>
      <c r="C24" s="72">
        <f>E23</f>
        <v>0.4201388888888889</v>
      </c>
      <c r="D24" s="71"/>
      <c r="E24" s="71"/>
      <c r="F24" s="32" t="s">
        <v>60</v>
      </c>
      <c r="G24" s="71"/>
      <c r="H24" s="71"/>
      <c r="I24" s="70" t="s">
        <v>254</v>
      </c>
      <c r="J24" s="71" t="s">
        <v>1021</v>
      </c>
      <c r="K24" s="71"/>
      <c r="L24" s="114">
        <f t="shared" si="2"/>
        <v>0.4201388888888889</v>
      </c>
      <c r="M24" s="114"/>
      <c r="N24" s="70"/>
      <c r="O24" s="70" t="s">
        <v>256</v>
      </c>
      <c r="P24" s="70" t="s">
        <v>256</v>
      </c>
      <c r="Q24" s="70" t="s">
        <v>256</v>
      </c>
      <c r="R24" s="70" t="s">
        <v>256</v>
      </c>
      <c r="T24" s="73"/>
      <c r="U24" s="73"/>
      <c r="V24" s="74"/>
    </row>
    <row r="25" spans="1:22" x14ac:dyDescent="0.2">
      <c r="A25" s="48" t="s">
        <v>279</v>
      </c>
      <c r="B25" s="49">
        <f>C25-$C$24</f>
        <v>0</v>
      </c>
      <c r="C25" s="96">
        <f>C24</f>
        <v>0.4201388888888889</v>
      </c>
      <c r="D25" s="96">
        <f>SUM(D26:D31)</f>
        <v>5.1736111111111108E-2</v>
      </c>
      <c r="E25" s="96">
        <f>C25+D25</f>
        <v>0.47187499999999999</v>
      </c>
      <c r="F25" s="18" t="s">
        <v>1022</v>
      </c>
      <c r="G25" s="18" t="s">
        <v>266</v>
      </c>
      <c r="H25" s="18"/>
      <c r="I25" s="38" t="s">
        <v>254</v>
      </c>
      <c r="J25" s="18" t="s">
        <v>1021</v>
      </c>
      <c r="K25" s="91" t="s">
        <v>1023</v>
      </c>
      <c r="L25" s="105">
        <f t="shared" si="2"/>
        <v>0.4201388888888889</v>
      </c>
      <c r="M25" s="105">
        <f t="shared" si="3"/>
        <v>0.47187499999999999</v>
      </c>
      <c r="N25" s="38"/>
      <c r="O25" s="18"/>
      <c r="P25" s="18"/>
      <c r="Q25" s="18"/>
      <c r="R25" s="38"/>
      <c r="T25" s="4"/>
      <c r="U25" s="4"/>
    </row>
    <row r="26" spans="1:22" x14ac:dyDescent="0.2">
      <c r="A26" s="48" t="s">
        <v>279</v>
      </c>
      <c r="B26" s="49">
        <f t="shared" ref="B26:B42" si="4">C26-$C$24</f>
        <v>0</v>
      </c>
      <c r="C26" s="96">
        <f>C24</f>
        <v>0.4201388888888889</v>
      </c>
      <c r="D26" s="96">
        <v>8.6226851851851846E-3</v>
      </c>
      <c r="E26" s="96">
        <f t="shared" ref="E26:E40" si="5">C26+D26</f>
        <v>0.42876157407407406</v>
      </c>
      <c r="F26" s="18" t="s">
        <v>1024</v>
      </c>
      <c r="G26" s="18" t="s">
        <v>266</v>
      </c>
      <c r="H26" s="18"/>
      <c r="I26" s="38" t="s">
        <v>254</v>
      </c>
      <c r="J26" s="18" t="s">
        <v>1021</v>
      </c>
      <c r="K26" s="91"/>
      <c r="L26" s="105">
        <f t="shared" si="2"/>
        <v>0.4201388888888889</v>
      </c>
      <c r="M26" s="105">
        <f t="shared" si="3"/>
        <v>0.42876157407407406</v>
      </c>
      <c r="N26" s="38" t="s">
        <v>255</v>
      </c>
      <c r="O26" s="38" t="s">
        <v>256</v>
      </c>
      <c r="P26" s="38" t="s">
        <v>256</v>
      </c>
      <c r="Q26" s="38" t="s">
        <v>256</v>
      </c>
      <c r="R26" s="38"/>
      <c r="T26" s="4"/>
      <c r="U26" s="4"/>
    </row>
    <row r="27" spans="1:22" x14ac:dyDescent="0.2">
      <c r="A27" s="48" t="s">
        <v>279</v>
      </c>
      <c r="B27" s="49">
        <f t="shared" si="4"/>
        <v>8.6226851851851638E-3</v>
      </c>
      <c r="C27" s="96">
        <f>E26</f>
        <v>0.42876157407407406</v>
      </c>
      <c r="D27" s="96">
        <v>8.6226851851851846E-3</v>
      </c>
      <c r="E27" s="96">
        <f t="shared" si="5"/>
        <v>0.43738425925925922</v>
      </c>
      <c r="F27" s="18" t="s">
        <v>1025</v>
      </c>
      <c r="G27" s="18" t="s">
        <v>266</v>
      </c>
      <c r="H27" s="18"/>
      <c r="I27" s="38" t="s">
        <v>254</v>
      </c>
      <c r="J27" s="18" t="s">
        <v>1021</v>
      </c>
      <c r="K27" s="91"/>
      <c r="L27" s="105">
        <f t="shared" si="2"/>
        <v>0.42876157407407406</v>
      </c>
      <c r="M27" s="105">
        <f t="shared" si="3"/>
        <v>0.43738425925925922</v>
      </c>
      <c r="N27" s="38" t="s">
        <v>255</v>
      </c>
      <c r="O27" s="38" t="s">
        <v>256</v>
      </c>
      <c r="P27" s="38" t="s">
        <v>256</v>
      </c>
      <c r="Q27" s="38" t="s">
        <v>256</v>
      </c>
      <c r="R27" s="38"/>
      <c r="T27" s="4"/>
      <c r="U27" s="4"/>
    </row>
    <row r="28" spans="1:22" x14ac:dyDescent="0.2">
      <c r="A28" s="48" t="s">
        <v>279</v>
      </c>
      <c r="B28" s="49">
        <f t="shared" si="4"/>
        <v>1.7245370370370328E-2</v>
      </c>
      <c r="C28" s="96">
        <f t="shared" ref="C28:C41" si="6">E27</f>
        <v>0.43738425925925922</v>
      </c>
      <c r="D28" s="96">
        <v>8.6226851851851846E-3</v>
      </c>
      <c r="E28" s="96">
        <f t="shared" si="5"/>
        <v>0.44600694444444439</v>
      </c>
      <c r="F28" s="18" t="s">
        <v>1026</v>
      </c>
      <c r="G28" s="18" t="s">
        <v>266</v>
      </c>
      <c r="H28" s="18"/>
      <c r="I28" s="38" t="s">
        <v>254</v>
      </c>
      <c r="J28" s="18" t="s">
        <v>1021</v>
      </c>
      <c r="K28" s="91"/>
      <c r="L28" s="105">
        <f t="shared" si="2"/>
        <v>0.43738425925925922</v>
      </c>
      <c r="M28" s="105">
        <f t="shared" si="3"/>
        <v>0.44600694444444439</v>
      </c>
      <c r="N28" s="38" t="s">
        <v>255</v>
      </c>
      <c r="O28" s="38" t="s">
        <v>256</v>
      </c>
      <c r="P28" s="38" t="s">
        <v>256</v>
      </c>
      <c r="Q28" s="38" t="s">
        <v>256</v>
      </c>
      <c r="R28" s="38"/>
      <c r="T28" s="4"/>
      <c r="U28" s="4"/>
    </row>
    <row r="29" spans="1:22" x14ac:dyDescent="0.2">
      <c r="A29" s="48" t="s">
        <v>279</v>
      </c>
      <c r="B29" s="49">
        <f t="shared" si="4"/>
        <v>2.5868055555555491E-2</v>
      </c>
      <c r="C29" s="96">
        <f t="shared" si="6"/>
        <v>0.44600694444444439</v>
      </c>
      <c r="D29" s="96">
        <v>8.6226851851851846E-3</v>
      </c>
      <c r="E29" s="96">
        <f t="shared" si="5"/>
        <v>0.45462962962962955</v>
      </c>
      <c r="F29" s="18" t="s">
        <v>1027</v>
      </c>
      <c r="G29" s="18" t="s">
        <v>266</v>
      </c>
      <c r="H29" s="18"/>
      <c r="I29" s="38" t="s">
        <v>254</v>
      </c>
      <c r="J29" s="18" t="s">
        <v>1021</v>
      </c>
      <c r="K29" s="91"/>
      <c r="L29" s="105">
        <f t="shared" si="2"/>
        <v>0.44600694444444439</v>
      </c>
      <c r="M29" s="105">
        <f t="shared" si="3"/>
        <v>0.45462962962962955</v>
      </c>
      <c r="N29" s="38" t="s">
        <v>255</v>
      </c>
      <c r="O29" s="38" t="s">
        <v>256</v>
      </c>
      <c r="P29" s="38" t="s">
        <v>256</v>
      </c>
      <c r="Q29" s="38" t="s">
        <v>256</v>
      </c>
      <c r="R29" s="38"/>
      <c r="T29" s="4"/>
      <c r="U29" s="4"/>
    </row>
    <row r="30" spans="1:22" x14ac:dyDescent="0.2">
      <c r="A30" s="48" t="s">
        <v>279</v>
      </c>
      <c r="B30" s="49">
        <f t="shared" si="4"/>
        <v>3.4490740740740655E-2</v>
      </c>
      <c r="C30" s="96">
        <f t="shared" si="6"/>
        <v>0.45462962962962955</v>
      </c>
      <c r="D30" s="96">
        <v>8.6226851851851846E-3</v>
      </c>
      <c r="E30" s="96">
        <f t="shared" si="5"/>
        <v>0.46325231481481471</v>
      </c>
      <c r="F30" s="18" t="s">
        <v>1028</v>
      </c>
      <c r="G30" s="18" t="s">
        <v>266</v>
      </c>
      <c r="H30" s="18"/>
      <c r="I30" s="38" t="s">
        <v>254</v>
      </c>
      <c r="J30" s="18" t="s">
        <v>1021</v>
      </c>
      <c r="K30" s="91"/>
      <c r="L30" s="105">
        <f t="shared" si="2"/>
        <v>0.45462962962962955</v>
      </c>
      <c r="M30" s="105">
        <f t="shared" si="3"/>
        <v>0.46325231481481471</v>
      </c>
      <c r="N30" s="38" t="s">
        <v>255</v>
      </c>
      <c r="O30" s="38"/>
      <c r="P30" s="38"/>
      <c r="Q30" s="38"/>
      <c r="R30" s="38"/>
      <c r="T30" s="4"/>
      <c r="U30" s="4"/>
    </row>
    <row r="31" spans="1:22" x14ac:dyDescent="0.2">
      <c r="A31" s="48" t="s">
        <v>279</v>
      </c>
      <c r="B31" s="49">
        <f t="shared" si="4"/>
        <v>4.3113425925925819E-2</v>
      </c>
      <c r="C31" s="96">
        <f t="shared" si="6"/>
        <v>0.46325231481481471</v>
      </c>
      <c r="D31" s="96">
        <v>8.6226851851851846E-3</v>
      </c>
      <c r="E31" s="96">
        <f t="shared" si="5"/>
        <v>0.47187499999999988</v>
      </c>
      <c r="F31" s="18" t="s">
        <v>1029</v>
      </c>
      <c r="G31" s="18" t="s">
        <v>266</v>
      </c>
      <c r="H31" s="18"/>
      <c r="I31" s="38" t="s">
        <v>254</v>
      </c>
      <c r="J31" s="18" t="s">
        <v>1021</v>
      </c>
      <c r="K31" s="91"/>
      <c r="L31" s="105">
        <f t="shared" si="2"/>
        <v>0.46325231481481471</v>
      </c>
      <c r="M31" s="105">
        <f t="shared" si="3"/>
        <v>0.47187499999999988</v>
      </c>
      <c r="N31" s="38" t="s">
        <v>255</v>
      </c>
      <c r="O31" s="38"/>
      <c r="P31" s="38"/>
      <c r="Q31" s="38"/>
      <c r="R31" s="38"/>
      <c r="T31" s="4"/>
      <c r="U31" s="4"/>
    </row>
    <row r="32" spans="1:22" x14ac:dyDescent="0.2">
      <c r="A32" s="48" t="s">
        <v>279</v>
      </c>
      <c r="B32" s="49">
        <f t="shared" si="4"/>
        <v>5.1736111111110983E-2</v>
      </c>
      <c r="C32" s="96">
        <f t="shared" si="6"/>
        <v>0.47187499999999988</v>
      </c>
      <c r="D32" s="96">
        <v>6.9444444444444441E-3</v>
      </c>
      <c r="E32" s="96">
        <f t="shared" si="5"/>
        <v>0.4788194444444443</v>
      </c>
      <c r="F32" s="18" t="s">
        <v>1030</v>
      </c>
      <c r="G32" s="18" t="s">
        <v>266</v>
      </c>
      <c r="H32" s="18"/>
      <c r="I32" s="38" t="s">
        <v>254</v>
      </c>
      <c r="J32" s="18" t="s">
        <v>1021</v>
      </c>
      <c r="K32" s="90"/>
      <c r="L32" s="105">
        <f t="shared" si="2"/>
        <v>0.47187499999999988</v>
      </c>
      <c r="M32" s="105">
        <f t="shared" si="3"/>
        <v>0.4788194444444443</v>
      </c>
      <c r="N32" s="38"/>
      <c r="O32" s="38" t="s">
        <v>256</v>
      </c>
      <c r="P32" s="38" t="s">
        <v>256</v>
      </c>
      <c r="Q32" s="38" t="s">
        <v>256</v>
      </c>
      <c r="R32" s="38"/>
      <c r="T32" s="4"/>
      <c r="U32" s="4"/>
    </row>
    <row r="33" spans="1:22" x14ac:dyDescent="0.2">
      <c r="A33" s="48" t="s">
        <v>279</v>
      </c>
      <c r="B33" s="49">
        <f t="shared" si="4"/>
        <v>5.8680555555555403E-2</v>
      </c>
      <c r="C33" s="96">
        <f t="shared" si="6"/>
        <v>0.4788194444444443</v>
      </c>
      <c r="D33" s="96">
        <v>6.9444444444444441E-3</v>
      </c>
      <c r="E33" s="96">
        <f t="shared" si="5"/>
        <v>0.48576388888888872</v>
      </c>
      <c r="F33" s="18" t="s">
        <v>905</v>
      </c>
      <c r="G33" s="18" t="s">
        <v>266</v>
      </c>
      <c r="H33" s="18"/>
      <c r="I33" s="38" t="s">
        <v>254</v>
      </c>
      <c r="J33" s="18" t="s">
        <v>1021</v>
      </c>
      <c r="K33" s="90"/>
      <c r="L33" s="105">
        <f t="shared" si="2"/>
        <v>0.4788194444444443</v>
      </c>
      <c r="M33" s="105">
        <f t="shared" si="3"/>
        <v>0.48576388888888872</v>
      </c>
      <c r="N33" s="38" t="s">
        <v>255</v>
      </c>
      <c r="O33" s="38"/>
      <c r="P33" s="38"/>
      <c r="Q33" s="38"/>
      <c r="R33" s="38"/>
      <c r="T33" s="4"/>
      <c r="U33" s="4"/>
    </row>
    <row r="34" spans="1:22" x14ac:dyDescent="0.2">
      <c r="A34" s="48" t="s">
        <v>279</v>
      </c>
      <c r="B34" s="49">
        <f t="shared" si="4"/>
        <v>6.5624999999999822E-2</v>
      </c>
      <c r="C34" s="96">
        <f t="shared" si="6"/>
        <v>0.48576388888888872</v>
      </c>
      <c r="D34" s="96">
        <v>2.0833333333333333E-3</v>
      </c>
      <c r="E34" s="96">
        <f t="shared" si="5"/>
        <v>0.48784722222222204</v>
      </c>
      <c r="F34" s="18" t="s">
        <v>894</v>
      </c>
      <c r="G34" s="18" t="s">
        <v>266</v>
      </c>
      <c r="H34" s="18"/>
      <c r="I34" s="38" t="s">
        <v>254</v>
      </c>
      <c r="J34" s="18" t="s">
        <v>1021</v>
      </c>
      <c r="K34" s="90"/>
      <c r="L34" s="105">
        <f t="shared" si="2"/>
        <v>0.48576388888888872</v>
      </c>
      <c r="M34" s="105">
        <f t="shared" si="3"/>
        <v>0.48784722222222204</v>
      </c>
      <c r="N34" s="38" t="s">
        <v>255</v>
      </c>
      <c r="O34" s="38"/>
      <c r="P34" s="38"/>
      <c r="Q34" s="38"/>
      <c r="R34" s="38"/>
      <c r="T34" s="4"/>
      <c r="U34" s="4"/>
    </row>
    <row r="35" spans="1:22" x14ac:dyDescent="0.2">
      <c r="A35" s="48" t="s">
        <v>279</v>
      </c>
      <c r="B35" s="49">
        <f t="shared" si="4"/>
        <v>6.7708333333333148E-2</v>
      </c>
      <c r="C35" s="96">
        <f t="shared" si="6"/>
        <v>0.48784722222222204</v>
      </c>
      <c r="D35" s="96">
        <v>1.3888888888888889E-3</v>
      </c>
      <c r="E35" s="96">
        <f t="shared" si="5"/>
        <v>0.48923611111111093</v>
      </c>
      <c r="F35" s="69" t="s">
        <v>59</v>
      </c>
      <c r="G35" s="18" t="s">
        <v>266</v>
      </c>
      <c r="H35" s="18"/>
      <c r="I35" s="38" t="s">
        <v>254</v>
      </c>
      <c r="J35" s="18" t="s">
        <v>1021</v>
      </c>
      <c r="K35" s="90"/>
      <c r="L35" s="105">
        <f t="shared" si="2"/>
        <v>0.48784722222222204</v>
      </c>
      <c r="M35" s="105">
        <f t="shared" si="3"/>
        <v>0.48923611111111093</v>
      </c>
      <c r="N35" s="38" t="s">
        <v>255</v>
      </c>
      <c r="O35" s="38"/>
      <c r="P35" s="38"/>
      <c r="Q35" s="38"/>
      <c r="R35" s="38"/>
      <c r="T35" s="4"/>
      <c r="U35" s="4"/>
    </row>
    <row r="36" spans="1:22" x14ac:dyDescent="0.2">
      <c r="A36" s="48" t="s">
        <v>279</v>
      </c>
      <c r="B36" s="49">
        <f t="shared" si="4"/>
        <v>6.9097222222222032E-2</v>
      </c>
      <c r="C36" s="96">
        <f t="shared" si="6"/>
        <v>0.48923611111111093</v>
      </c>
      <c r="D36" s="96">
        <f>SUM(D37:D41)</f>
        <v>3.6458333333333329E-2</v>
      </c>
      <c r="E36" s="96">
        <f t="shared" si="5"/>
        <v>0.52569444444444424</v>
      </c>
      <c r="F36" s="18" t="s">
        <v>1031</v>
      </c>
      <c r="G36" s="18" t="s">
        <v>266</v>
      </c>
      <c r="H36" s="18"/>
      <c r="I36" s="38" t="s">
        <v>254</v>
      </c>
      <c r="J36" s="18" t="s">
        <v>1021</v>
      </c>
      <c r="K36" s="91" t="s">
        <v>1032</v>
      </c>
      <c r="L36" s="105">
        <f t="shared" si="2"/>
        <v>0.48923611111111093</v>
      </c>
      <c r="M36" s="105">
        <f t="shared" si="3"/>
        <v>0.52569444444444424</v>
      </c>
      <c r="N36" s="38"/>
      <c r="O36" s="38"/>
      <c r="P36" s="38"/>
      <c r="Q36" s="38"/>
      <c r="R36" s="38"/>
      <c r="T36" s="4"/>
      <c r="U36" s="4"/>
    </row>
    <row r="37" spans="1:22" x14ac:dyDescent="0.2">
      <c r="A37" s="48" t="s">
        <v>279</v>
      </c>
      <c r="B37" s="49">
        <f t="shared" si="4"/>
        <v>6.9097222222222032E-2</v>
      </c>
      <c r="C37" s="96">
        <f>C36</f>
        <v>0.48923611111111093</v>
      </c>
      <c r="D37" s="96">
        <v>7.2916666666666659E-3</v>
      </c>
      <c r="E37" s="96">
        <f t="shared" si="5"/>
        <v>0.49652777777777757</v>
      </c>
      <c r="F37" s="18" t="s">
        <v>1033</v>
      </c>
      <c r="G37" s="18" t="s">
        <v>266</v>
      </c>
      <c r="H37" s="18"/>
      <c r="I37" s="38" t="s">
        <v>254</v>
      </c>
      <c r="J37" s="18" t="s">
        <v>1021</v>
      </c>
      <c r="K37" s="91"/>
      <c r="L37" s="105">
        <f t="shared" si="2"/>
        <v>0.48923611111111093</v>
      </c>
      <c r="M37" s="105">
        <f>E37</f>
        <v>0.49652777777777757</v>
      </c>
      <c r="N37" s="38" t="s">
        <v>255</v>
      </c>
      <c r="O37" s="38"/>
      <c r="P37" s="38"/>
      <c r="Q37" s="38"/>
      <c r="R37" s="38"/>
      <c r="T37" s="4"/>
      <c r="U37" s="4"/>
    </row>
    <row r="38" spans="1:22" x14ac:dyDescent="0.2">
      <c r="A38" s="48" t="s">
        <v>279</v>
      </c>
      <c r="B38" s="49">
        <f t="shared" si="4"/>
        <v>7.6388888888888673E-2</v>
      </c>
      <c r="C38" s="96">
        <f t="shared" si="6"/>
        <v>0.49652777777777757</v>
      </c>
      <c r="D38" s="96">
        <v>7.2916666666666659E-3</v>
      </c>
      <c r="E38" s="96">
        <f t="shared" si="5"/>
        <v>0.50381944444444426</v>
      </c>
      <c r="F38" s="18" t="s">
        <v>1034</v>
      </c>
      <c r="G38" s="18" t="s">
        <v>266</v>
      </c>
      <c r="H38" s="18"/>
      <c r="I38" s="38" t="s">
        <v>254</v>
      </c>
      <c r="J38" s="18" t="s">
        <v>1021</v>
      </c>
      <c r="K38" s="91"/>
      <c r="L38" s="105">
        <f t="shared" si="2"/>
        <v>0.49652777777777757</v>
      </c>
      <c r="M38" s="105">
        <f t="shared" si="3"/>
        <v>0.50381944444444426</v>
      </c>
      <c r="N38" s="38" t="s">
        <v>255</v>
      </c>
      <c r="O38" s="38"/>
      <c r="P38" s="38"/>
      <c r="Q38" s="38"/>
      <c r="R38" s="38"/>
      <c r="T38" s="4"/>
      <c r="U38" s="4"/>
    </row>
    <row r="39" spans="1:22" x14ac:dyDescent="0.2">
      <c r="A39" s="48" t="s">
        <v>279</v>
      </c>
      <c r="B39" s="49">
        <f t="shared" si="4"/>
        <v>8.3680555555555369E-2</v>
      </c>
      <c r="C39" s="96">
        <f t="shared" si="6"/>
        <v>0.50381944444444426</v>
      </c>
      <c r="D39" s="96">
        <v>7.2916666666666659E-3</v>
      </c>
      <c r="E39" s="96">
        <f t="shared" si="5"/>
        <v>0.51111111111111096</v>
      </c>
      <c r="F39" s="18" t="s">
        <v>1035</v>
      </c>
      <c r="G39" s="18" t="s">
        <v>266</v>
      </c>
      <c r="H39" s="18"/>
      <c r="I39" s="38" t="s">
        <v>254</v>
      </c>
      <c r="J39" s="18" t="s">
        <v>1021</v>
      </c>
      <c r="K39" s="91"/>
      <c r="L39" s="105">
        <f t="shared" si="2"/>
        <v>0.50381944444444426</v>
      </c>
      <c r="M39" s="105">
        <f t="shared" si="3"/>
        <v>0.51111111111111096</v>
      </c>
      <c r="N39" s="38" t="s">
        <v>255</v>
      </c>
      <c r="O39" s="38"/>
      <c r="P39" s="38"/>
      <c r="Q39" s="38"/>
      <c r="R39" s="38"/>
      <c r="T39" s="4"/>
      <c r="U39" s="4"/>
    </row>
    <row r="40" spans="1:22" x14ac:dyDescent="0.2">
      <c r="A40" s="48" t="s">
        <v>279</v>
      </c>
      <c r="B40" s="49">
        <f t="shared" si="4"/>
        <v>9.0972222222222066E-2</v>
      </c>
      <c r="C40" s="96">
        <f t="shared" si="6"/>
        <v>0.51111111111111096</v>
      </c>
      <c r="D40" s="96">
        <v>7.2916666666666659E-3</v>
      </c>
      <c r="E40" s="96">
        <f t="shared" si="5"/>
        <v>0.51840277777777766</v>
      </c>
      <c r="F40" s="18" t="s">
        <v>1036</v>
      </c>
      <c r="G40" s="18" t="s">
        <v>266</v>
      </c>
      <c r="H40" s="18"/>
      <c r="I40" s="38" t="s">
        <v>254</v>
      </c>
      <c r="J40" s="18" t="s">
        <v>1021</v>
      </c>
      <c r="K40" s="91"/>
      <c r="L40" s="105">
        <f t="shared" si="2"/>
        <v>0.51111111111111096</v>
      </c>
      <c r="M40" s="105">
        <f t="shared" si="3"/>
        <v>0.51840277777777766</v>
      </c>
      <c r="N40" s="38" t="s">
        <v>255</v>
      </c>
      <c r="O40" s="38"/>
      <c r="P40" s="38"/>
      <c r="Q40" s="38"/>
      <c r="R40" s="38"/>
      <c r="T40" s="4"/>
      <c r="U40" s="4"/>
    </row>
    <row r="41" spans="1:22" x14ac:dyDescent="0.2">
      <c r="A41" s="48" t="s">
        <v>279</v>
      </c>
      <c r="B41" s="49">
        <f t="shared" si="4"/>
        <v>9.8263888888888762E-2</v>
      </c>
      <c r="C41" s="96">
        <f t="shared" si="6"/>
        <v>0.51840277777777766</v>
      </c>
      <c r="D41" s="96">
        <v>7.2916666666666659E-3</v>
      </c>
      <c r="E41" s="96">
        <f>C41+D41</f>
        <v>0.52569444444444435</v>
      </c>
      <c r="F41" s="18" t="s">
        <v>1037</v>
      </c>
      <c r="G41" s="18" t="s">
        <v>266</v>
      </c>
      <c r="H41" s="18"/>
      <c r="I41" s="38" t="s">
        <v>254</v>
      </c>
      <c r="J41" s="18" t="s">
        <v>1021</v>
      </c>
      <c r="K41" s="91"/>
      <c r="L41" s="105">
        <f t="shared" si="2"/>
        <v>0.51840277777777766</v>
      </c>
      <c r="M41" s="105">
        <f t="shared" si="3"/>
        <v>0.52569444444444435</v>
      </c>
      <c r="N41" s="38" t="s">
        <v>255</v>
      </c>
      <c r="O41" s="38"/>
      <c r="P41" s="38"/>
      <c r="Q41" s="38"/>
      <c r="R41" s="38"/>
      <c r="T41" s="4"/>
      <c r="U41" s="4"/>
    </row>
    <row r="42" spans="1:22" s="1" customFormat="1" x14ac:dyDescent="0.2">
      <c r="A42" s="80" t="s">
        <v>279</v>
      </c>
      <c r="B42" s="78">
        <f t="shared" si="4"/>
        <v>0.1111111111111111</v>
      </c>
      <c r="C42" s="79">
        <v>0.53125</v>
      </c>
      <c r="D42" s="81"/>
      <c r="E42" s="81"/>
      <c r="F42" s="33" t="s">
        <v>62</v>
      </c>
      <c r="G42" s="81"/>
      <c r="H42" s="81"/>
      <c r="I42" s="80" t="s">
        <v>254</v>
      </c>
      <c r="J42" s="81"/>
      <c r="K42" s="81"/>
      <c r="L42" s="109">
        <f t="shared" si="2"/>
        <v>0.53125</v>
      </c>
      <c r="M42" s="109"/>
      <c r="N42" s="80"/>
      <c r="O42" s="80" t="s">
        <v>256</v>
      </c>
      <c r="P42" s="80" t="s">
        <v>256</v>
      </c>
      <c r="Q42" s="80" t="s">
        <v>256</v>
      </c>
      <c r="R42" s="80" t="s">
        <v>256</v>
      </c>
      <c r="T42" s="73"/>
      <c r="U42" s="73"/>
      <c r="V42" s="74"/>
    </row>
    <row r="43" spans="1:22" x14ac:dyDescent="0.2">
      <c r="A43" s="48" t="s">
        <v>252</v>
      </c>
      <c r="B43" s="49">
        <f t="shared" ref="B43:B56" si="7">$C$61-C43</f>
        <v>0.19097222222222221</v>
      </c>
      <c r="C43" s="49">
        <v>0.54166666666666663</v>
      </c>
      <c r="D43" s="35"/>
      <c r="E43" s="35"/>
      <c r="F43" s="39" t="s">
        <v>257</v>
      </c>
      <c r="G43" s="18"/>
      <c r="H43" s="18"/>
      <c r="I43" s="38" t="s">
        <v>254</v>
      </c>
      <c r="J43" s="37"/>
      <c r="K43" s="37"/>
      <c r="L43" s="37"/>
      <c r="M43" s="37"/>
      <c r="N43" s="38"/>
      <c r="O43" s="38"/>
      <c r="P43" s="38"/>
      <c r="Q43" s="38"/>
      <c r="R43" s="38"/>
      <c r="T43" s="4"/>
      <c r="U43" s="4"/>
    </row>
    <row r="44" spans="1:22" s="85" customFormat="1" x14ac:dyDescent="0.2">
      <c r="A44" s="48" t="s">
        <v>252</v>
      </c>
      <c r="B44" s="49">
        <f t="shared" si="7"/>
        <v>0.19097222222222221</v>
      </c>
      <c r="C44" s="96">
        <v>0.54166666666666663</v>
      </c>
      <c r="D44" s="96">
        <f>E44-C44</f>
        <v>0.125</v>
      </c>
      <c r="E44" s="96">
        <v>0.66666666666666663</v>
      </c>
      <c r="F44" s="84" t="s">
        <v>913</v>
      </c>
      <c r="G44" s="83"/>
      <c r="H44" s="83"/>
      <c r="I44" s="38" t="s">
        <v>254</v>
      </c>
      <c r="J44" s="37"/>
      <c r="K44" s="37"/>
      <c r="L44" s="37"/>
      <c r="M44" s="37"/>
      <c r="N44" s="38"/>
      <c r="O44" s="82"/>
      <c r="P44" s="82"/>
      <c r="Q44" s="82"/>
      <c r="R44" s="82"/>
      <c r="T44" s="86"/>
      <c r="U44" s="86"/>
      <c r="V44" s="87"/>
    </row>
    <row r="45" spans="1:22" x14ac:dyDescent="0.2">
      <c r="A45" s="48" t="s">
        <v>252</v>
      </c>
      <c r="B45" s="49">
        <f t="shared" si="7"/>
        <v>0.19097222222222221</v>
      </c>
      <c r="C45" s="49">
        <v>0.54166666666666663</v>
      </c>
      <c r="D45" s="35"/>
      <c r="E45" s="35"/>
      <c r="F45" s="47" t="s">
        <v>65</v>
      </c>
      <c r="G45" s="18"/>
      <c r="H45" s="18"/>
      <c r="I45" s="38" t="s">
        <v>254</v>
      </c>
      <c r="J45" s="37"/>
      <c r="K45" s="37"/>
      <c r="L45" s="37"/>
      <c r="M45" s="37"/>
      <c r="N45" s="38"/>
      <c r="O45" s="38"/>
      <c r="P45" s="38"/>
      <c r="Q45" s="38"/>
      <c r="R45" s="38" t="s">
        <v>256</v>
      </c>
      <c r="T45" s="4"/>
      <c r="U45" s="4"/>
    </row>
    <row r="46" spans="1:22" x14ac:dyDescent="0.2">
      <c r="A46" s="48" t="s">
        <v>252</v>
      </c>
      <c r="B46" s="49">
        <f t="shared" si="7"/>
        <v>0.19097222222222221</v>
      </c>
      <c r="C46" s="49">
        <v>0.54166666666666663</v>
      </c>
      <c r="D46" s="35"/>
      <c r="E46" s="35"/>
      <c r="F46" s="18" t="s">
        <v>362</v>
      </c>
      <c r="G46" s="18"/>
      <c r="H46" s="18"/>
      <c r="I46" s="38" t="s">
        <v>254</v>
      </c>
      <c r="J46" s="37"/>
      <c r="K46" s="37"/>
      <c r="L46" s="37"/>
      <c r="M46" s="37"/>
      <c r="N46" s="38"/>
      <c r="O46" s="38"/>
      <c r="P46" s="38"/>
      <c r="Q46" s="38"/>
      <c r="R46" s="38" t="s">
        <v>256</v>
      </c>
      <c r="T46" s="4"/>
      <c r="U46" s="4"/>
    </row>
    <row r="47" spans="1:22" x14ac:dyDescent="0.2">
      <c r="A47" s="48" t="s">
        <v>252</v>
      </c>
      <c r="B47" s="49">
        <f t="shared" si="7"/>
        <v>0.18055555555555547</v>
      </c>
      <c r="C47" s="95">
        <v>0.55208333333333337</v>
      </c>
      <c r="D47" s="35"/>
      <c r="E47" s="35"/>
      <c r="F47" s="47" t="s">
        <v>361</v>
      </c>
      <c r="G47" s="18"/>
      <c r="H47" s="18"/>
      <c r="I47" s="38" t="s">
        <v>254</v>
      </c>
      <c r="J47" s="37"/>
      <c r="K47" s="37"/>
      <c r="L47" s="37"/>
      <c r="M47" s="37"/>
      <c r="N47" s="38"/>
      <c r="O47" s="38"/>
      <c r="P47" s="38"/>
      <c r="Q47" s="38"/>
      <c r="R47" s="38"/>
      <c r="T47" s="4"/>
      <c r="U47" s="4"/>
    </row>
    <row r="48" spans="1:22" x14ac:dyDescent="0.2">
      <c r="A48" s="48" t="s">
        <v>252</v>
      </c>
      <c r="B48" s="49">
        <f t="shared" si="7"/>
        <v>0.17013888888888884</v>
      </c>
      <c r="C48" s="49">
        <v>0.5625</v>
      </c>
      <c r="D48" s="96">
        <f>E48-C48</f>
        <v>0.125</v>
      </c>
      <c r="E48" s="96">
        <v>0.6875</v>
      </c>
      <c r="F48" s="18" t="s">
        <v>958</v>
      </c>
      <c r="G48" s="18" t="s">
        <v>266</v>
      </c>
      <c r="H48" s="18"/>
      <c r="I48" s="38" t="s">
        <v>254</v>
      </c>
      <c r="J48" s="37"/>
      <c r="K48" s="37"/>
      <c r="L48" s="37"/>
      <c r="M48" s="37"/>
      <c r="N48" s="38"/>
      <c r="O48" s="38"/>
      <c r="P48" s="38"/>
      <c r="Q48" s="38"/>
      <c r="R48" s="38" t="s">
        <v>256</v>
      </c>
      <c r="T48" s="4"/>
      <c r="U48" s="4"/>
    </row>
    <row r="49" spans="1:22" x14ac:dyDescent="0.2">
      <c r="A49" s="48" t="s">
        <v>252</v>
      </c>
      <c r="B49" s="49">
        <f t="shared" si="7"/>
        <v>6.597222222222221E-2</v>
      </c>
      <c r="C49" s="49">
        <v>0.66666666666666663</v>
      </c>
      <c r="D49" s="49">
        <f>E49-C49</f>
        <v>0.20833333333333337</v>
      </c>
      <c r="E49" s="49">
        <v>0.875</v>
      </c>
      <c r="F49" s="18" t="s">
        <v>892</v>
      </c>
      <c r="G49" s="18"/>
      <c r="H49" s="18"/>
      <c r="I49" s="38" t="s">
        <v>254</v>
      </c>
      <c r="J49" s="37"/>
      <c r="K49" s="37"/>
      <c r="L49" s="37"/>
      <c r="M49" s="37"/>
      <c r="N49" s="38"/>
      <c r="O49" s="18"/>
      <c r="P49" s="18"/>
      <c r="Q49" s="18"/>
      <c r="R49" s="38" t="s">
        <v>256</v>
      </c>
      <c r="T49" s="4"/>
      <c r="U49" s="4"/>
    </row>
    <row r="50" spans="1:22" x14ac:dyDescent="0.2">
      <c r="A50" s="48" t="s">
        <v>252</v>
      </c>
      <c r="B50" s="49">
        <f t="shared" si="7"/>
        <v>5.5555555555555469E-2</v>
      </c>
      <c r="C50" s="49">
        <v>0.67708333333333337</v>
      </c>
      <c r="D50" s="35"/>
      <c r="E50" s="35"/>
      <c r="F50" s="18" t="s">
        <v>473</v>
      </c>
      <c r="G50" s="18"/>
      <c r="H50" s="18"/>
      <c r="I50" s="38" t="s">
        <v>254</v>
      </c>
      <c r="J50" s="37"/>
      <c r="K50" s="37"/>
      <c r="L50" s="37"/>
      <c r="M50" s="37"/>
      <c r="N50" s="38"/>
      <c r="O50" s="38"/>
      <c r="P50" s="38"/>
      <c r="Q50" s="38"/>
      <c r="R50" s="38" t="s">
        <v>256</v>
      </c>
      <c r="T50" s="4"/>
      <c r="U50" s="4"/>
    </row>
    <row r="51" spans="1:22" x14ac:dyDescent="0.2">
      <c r="A51" s="48" t="s">
        <v>252</v>
      </c>
      <c r="B51" s="49">
        <f t="shared" si="7"/>
        <v>5.5555555555555469E-2</v>
      </c>
      <c r="C51" s="49">
        <v>0.67708333333333337</v>
      </c>
      <c r="D51" s="35"/>
      <c r="E51" s="35"/>
      <c r="F51" s="18" t="s">
        <v>366</v>
      </c>
      <c r="G51" s="18"/>
      <c r="H51" s="18"/>
      <c r="I51" s="38" t="s">
        <v>254</v>
      </c>
      <c r="J51" s="37"/>
      <c r="K51" s="37"/>
      <c r="L51" s="37"/>
      <c r="M51" s="37"/>
      <c r="N51" s="38"/>
      <c r="O51" s="38"/>
      <c r="P51" s="38"/>
      <c r="Q51" s="38"/>
      <c r="R51" s="38" t="s">
        <v>256</v>
      </c>
      <c r="T51" s="4"/>
      <c r="U51" s="4"/>
    </row>
    <row r="52" spans="1:22" x14ac:dyDescent="0.2">
      <c r="A52" s="48" t="s">
        <v>252</v>
      </c>
      <c r="B52" s="49">
        <f t="shared" si="7"/>
        <v>4.513888888888884E-2</v>
      </c>
      <c r="C52" s="49">
        <v>0.6875</v>
      </c>
      <c r="D52" s="49">
        <f>E52-C52</f>
        <v>4.861111111111116E-2</v>
      </c>
      <c r="E52" s="49">
        <v>0.73611111111111116</v>
      </c>
      <c r="F52" s="18" t="s">
        <v>893</v>
      </c>
      <c r="G52" s="18" t="s">
        <v>266</v>
      </c>
      <c r="H52" s="18"/>
      <c r="I52" s="38" t="s">
        <v>254</v>
      </c>
      <c r="J52" s="37"/>
      <c r="K52" s="37"/>
      <c r="L52" s="37"/>
      <c r="M52" s="37"/>
      <c r="N52" s="38"/>
      <c r="O52" s="38" t="s">
        <v>256</v>
      </c>
      <c r="P52" s="38"/>
      <c r="Q52" s="38" t="s">
        <v>256</v>
      </c>
      <c r="R52" s="38"/>
      <c r="T52" s="4"/>
      <c r="U52" s="4"/>
    </row>
    <row r="53" spans="1:22" x14ac:dyDescent="0.2">
      <c r="A53" s="48" t="s">
        <v>252</v>
      </c>
      <c r="B53" s="49">
        <f t="shared" si="7"/>
        <v>4.513888888888884E-2</v>
      </c>
      <c r="C53" s="49">
        <v>0.6875</v>
      </c>
      <c r="D53" s="35"/>
      <c r="E53" s="35"/>
      <c r="F53" s="18" t="s">
        <v>55</v>
      </c>
      <c r="G53" s="18"/>
      <c r="H53" s="18"/>
      <c r="I53" s="38" t="s">
        <v>254</v>
      </c>
      <c r="J53" s="37"/>
      <c r="K53" s="37"/>
      <c r="L53" s="37"/>
      <c r="M53" s="37"/>
      <c r="N53" s="38"/>
      <c r="O53" s="38"/>
      <c r="P53" s="38"/>
      <c r="Q53" s="38"/>
      <c r="R53" s="38" t="s">
        <v>256</v>
      </c>
      <c r="T53" s="4"/>
      <c r="U53" s="4"/>
    </row>
    <row r="54" spans="1:22" x14ac:dyDescent="0.2">
      <c r="A54" s="48" t="s">
        <v>252</v>
      </c>
      <c r="B54" s="49">
        <f t="shared" si="7"/>
        <v>4.513888888888884E-2</v>
      </c>
      <c r="C54" s="49">
        <v>0.6875</v>
      </c>
      <c r="D54" s="35"/>
      <c r="E54" s="35"/>
      <c r="F54" s="18" t="s">
        <v>52</v>
      </c>
      <c r="G54" s="18"/>
      <c r="H54" s="18"/>
      <c r="I54" s="38" t="s">
        <v>254</v>
      </c>
      <c r="J54" s="37"/>
      <c r="K54" s="37"/>
      <c r="L54" s="37"/>
      <c r="M54" s="37"/>
      <c r="N54" s="38"/>
      <c r="O54" s="38"/>
      <c r="P54" s="38"/>
      <c r="Q54" s="38"/>
      <c r="R54" s="38"/>
      <c r="T54" s="4"/>
      <c r="U54" s="4"/>
    </row>
    <row r="55" spans="1:22" x14ac:dyDescent="0.2">
      <c r="A55" s="48" t="s">
        <v>252</v>
      </c>
      <c r="B55" s="49">
        <f t="shared" si="7"/>
        <v>4.513888888888884E-2</v>
      </c>
      <c r="C55" s="49">
        <v>0.6875</v>
      </c>
      <c r="D55" s="35"/>
      <c r="E55" s="35"/>
      <c r="F55" s="20" t="s">
        <v>53</v>
      </c>
      <c r="G55" s="18"/>
      <c r="H55" s="18"/>
      <c r="I55" s="38" t="s">
        <v>254</v>
      </c>
      <c r="J55" s="37"/>
      <c r="K55" s="37"/>
      <c r="L55" s="37"/>
      <c r="M55" s="37"/>
      <c r="N55" s="38"/>
      <c r="O55" s="38"/>
      <c r="P55" s="38"/>
      <c r="Q55" s="38"/>
      <c r="R55" s="38" t="s">
        <v>256</v>
      </c>
      <c r="T55" s="4"/>
      <c r="U55" s="4"/>
    </row>
    <row r="56" spans="1:22" x14ac:dyDescent="0.2">
      <c r="A56" s="48" t="s">
        <v>252</v>
      </c>
      <c r="B56" s="49">
        <f t="shared" si="7"/>
        <v>1.7361111111111049E-2</v>
      </c>
      <c r="C56" s="49">
        <v>0.71527777777777779</v>
      </c>
      <c r="D56" s="35"/>
      <c r="E56" s="35"/>
      <c r="F56" s="18" t="s">
        <v>367</v>
      </c>
      <c r="G56" s="18" t="s">
        <v>266</v>
      </c>
      <c r="H56" s="18"/>
      <c r="I56" s="38" t="s">
        <v>254</v>
      </c>
      <c r="J56" s="37"/>
      <c r="K56" s="37"/>
      <c r="L56" s="37"/>
      <c r="M56" s="37"/>
      <c r="N56" s="38"/>
      <c r="O56" s="38" t="s">
        <v>256</v>
      </c>
      <c r="P56" s="38" t="s">
        <v>256</v>
      </c>
      <c r="Q56" s="38" t="s">
        <v>256</v>
      </c>
      <c r="R56" s="38" t="s">
        <v>256</v>
      </c>
      <c r="T56" s="4"/>
      <c r="U56" s="4"/>
    </row>
    <row r="57" spans="1:22" x14ac:dyDescent="0.2">
      <c r="A57" s="48" t="s">
        <v>252</v>
      </c>
      <c r="B57" s="49">
        <f t="shared" ref="B57" si="8">$C$61-C57</f>
        <v>1.388888888888884E-2</v>
      </c>
      <c r="C57" s="49">
        <v>0.71875</v>
      </c>
      <c r="D57" s="35"/>
      <c r="E57" s="35"/>
      <c r="F57" s="18" t="s">
        <v>56</v>
      </c>
      <c r="G57" s="18"/>
      <c r="H57" s="18"/>
      <c r="I57" s="38" t="s">
        <v>254</v>
      </c>
      <c r="J57" s="37"/>
      <c r="K57" s="37"/>
      <c r="L57" s="37"/>
      <c r="M57" s="37"/>
      <c r="N57" s="38"/>
      <c r="O57" s="38" t="s">
        <v>256</v>
      </c>
      <c r="P57" s="38" t="s">
        <v>256</v>
      </c>
      <c r="Q57" s="38" t="s">
        <v>256</v>
      </c>
      <c r="R57" s="38" t="s">
        <v>256</v>
      </c>
      <c r="T57" s="4"/>
      <c r="U57" s="4"/>
    </row>
    <row r="58" spans="1:22" s="1" customFormat="1" x14ac:dyDescent="0.2">
      <c r="A58" s="75" t="s">
        <v>252</v>
      </c>
      <c r="B58" s="77">
        <f>$C$61-C58</f>
        <v>3.4722222222222099E-3</v>
      </c>
      <c r="C58" s="102">
        <v>0.72916666666666663</v>
      </c>
      <c r="D58" s="76"/>
      <c r="E58" s="76"/>
      <c r="F58" s="31" t="s">
        <v>57</v>
      </c>
      <c r="G58" s="76"/>
      <c r="H58" s="76"/>
      <c r="I58" s="75" t="s">
        <v>254</v>
      </c>
      <c r="J58" s="76"/>
      <c r="K58" s="76"/>
      <c r="L58" s="108">
        <f t="shared" ref="L58:L82" si="9">C58</f>
        <v>0.72916666666666663</v>
      </c>
      <c r="M58" s="108"/>
      <c r="N58" s="75"/>
      <c r="O58" s="75"/>
      <c r="P58" s="75"/>
      <c r="Q58" s="75"/>
      <c r="R58" s="75" t="s">
        <v>256</v>
      </c>
      <c r="T58" s="73"/>
      <c r="U58" s="73"/>
      <c r="V58" s="74"/>
    </row>
    <row r="59" spans="1:22" x14ac:dyDescent="0.2">
      <c r="A59" s="48" t="s">
        <v>252</v>
      </c>
      <c r="B59" s="49">
        <f>$C$61-C59</f>
        <v>3.4722222222222099E-3</v>
      </c>
      <c r="C59" s="49">
        <f>C58</f>
        <v>0.72916666666666663</v>
      </c>
      <c r="D59" s="49">
        <v>2.0833333333333333E-3</v>
      </c>
      <c r="E59" s="49">
        <f>C59+D59</f>
        <v>0.73124999999999996</v>
      </c>
      <c r="F59" s="20" t="s">
        <v>894</v>
      </c>
      <c r="G59" s="18" t="s">
        <v>266</v>
      </c>
      <c r="H59" s="18"/>
      <c r="I59" s="38" t="s">
        <v>254</v>
      </c>
      <c r="J59" s="18" t="s">
        <v>1038</v>
      </c>
      <c r="K59" s="37"/>
      <c r="L59" s="105">
        <f t="shared" si="9"/>
        <v>0.72916666666666663</v>
      </c>
      <c r="M59" s="105">
        <f t="shared" ref="M59:M81" si="10">E59</f>
        <v>0.73124999999999996</v>
      </c>
      <c r="N59" s="38"/>
      <c r="O59" s="38" t="s">
        <v>256</v>
      </c>
      <c r="P59" s="38" t="s">
        <v>256</v>
      </c>
      <c r="Q59" s="38" t="s">
        <v>256</v>
      </c>
      <c r="R59" s="38"/>
      <c r="T59" s="4"/>
      <c r="U59" s="4"/>
    </row>
    <row r="60" spans="1:22" x14ac:dyDescent="0.2">
      <c r="A60" s="48" t="s">
        <v>252</v>
      </c>
      <c r="B60" s="49">
        <f>$C$61-C60</f>
        <v>1.388888888888884E-3</v>
      </c>
      <c r="C60" s="49">
        <f>E59</f>
        <v>0.73124999999999996</v>
      </c>
      <c r="D60" s="49">
        <v>1.3888888888888889E-3</v>
      </c>
      <c r="E60" s="49">
        <f>C60+D60</f>
        <v>0.73263888888888884</v>
      </c>
      <c r="F60" s="18" t="s">
        <v>59</v>
      </c>
      <c r="G60" s="18" t="s">
        <v>266</v>
      </c>
      <c r="H60" s="18"/>
      <c r="I60" s="38" t="s">
        <v>254</v>
      </c>
      <c r="J60" s="18" t="s">
        <v>1038</v>
      </c>
      <c r="K60" s="37"/>
      <c r="L60" s="105">
        <f t="shared" si="9"/>
        <v>0.73124999999999996</v>
      </c>
      <c r="M60" s="105">
        <f t="shared" si="10"/>
        <v>0.73263888888888884</v>
      </c>
      <c r="N60" s="38"/>
      <c r="O60" s="38" t="s">
        <v>256</v>
      </c>
      <c r="P60" s="38" t="s">
        <v>256</v>
      </c>
      <c r="Q60" s="38" t="s">
        <v>256</v>
      </c>
      <c r="R60" s="38"/>
      <c r="T60" s="4"/>
      <c r="U60" s="4"/>
    </row>
    <row r="61" spans="1:22" s="1" customFormat="1" x14ac:dyDescent="0.2">
      <c r="A61" s="70" t="s">
        <v>279</v>
      </c>
      <c r="B61" s="72">
        <v>0</v>
      </c>
      <c r="C61" s="72">
        <f>E60</f>
        <v>0.73263888888888884</v>
      </c>
      <c r="D61" s="71"/>
      <c r="E61" s="71"/>
      <c r="F61" s="32" t="s">
        <v>60</v>
      </c>
      <c r="G61" s="71"/>
      <c r="H61" s="71"/>
      <c r="I61" s="70" t="s">
        <v>254</v>
      </c>
      <c r="J61" s="71"/>
      <c r="K61" s="71"/>
      <c r="L61" s="114">
        <f t="shared" si="9"/>
        <v>0.73263888888888884</v>
      </c>
      <c r="M61" s="114"/>
      <c r="N61" s="70"/>
      <c r="O61" s="70" t="s">
        <v>256</v>
      </c>
      <c r="P61" s="70" t="s">
        <v>256</v>
      </c>
      <c r="Q61" s="70" t="s">
        <v>256</v>
      </c>
      <c r="R61" s="70" t="s">
        <v>256</v>
      </c>
      <c r="T61" s="73"/>
      <c r="U61" s="73"/>
      <c r="V61" s="74"/>
    </row>
    <row r="62" spans="1:22" x14ac:dyDescent="0.2">
      <c r="A62" s="48" t="s">
        <v>279</v>
      </c>
      <c r="B62" s="49">
        <f>C62-$C$61</f>
        <v>0</v>
      </c>
      <c r="C62" s="49">
        <f>C61</f>
        <v>0.73263888888888884</v>
      </c>
      <c r="D62" s="96">
        <f>SUM(D63:D68)</f>
        <v>4.8958333333333333E-2</v>
      </c>
      <c r="E62" s="49">
        <f>C62+D62</f>
        <v>0.78159722222222217</v>
      </c>
      <c r="F62" s="18" t="s">
        <v>1039</v>
      </c>
      <c r="G62" s="18" t="s">
        <v>266</v>
      </c>
      <c r="H62" s="18"/>
      <c r="I62" s="38" t="s">
        <v>254</v>
      </c>
      <c r="J62" s="18" t="s">
        <v>1038</v>
      </c>
      <c r="K62" s="91" t="s">
        <v>1040</v>
      </c>
      <c r="L62" s="105">
        <f t="shared" si="9"/>
        <v>0.73263888888888884</v>
      </c>
      <c r="M62" s="105">
        <f t="shared" si="10"/>
        <v>0.78159722222222217</v>
      </c>
      <c r="N62" s="38"/>
      <c r="O62" s="38" t="s">
        <v>256</v>
      </c>
      <c r="P62" s="38" t="s">
        <v>256</v>
      </c>
      <c r="Q62" s="38" t="s">
        <v>256</v>
      </c>
      <c r="R62" s="38"/>
      <c r="T62" s="4"/>
      <c r="U62" s="4"/>
    </row>
    <row r="63" spans="1:22" x14ac:dyDescent="0.2">
      <c r="A63" s="48" t="s">
        <v>279</v>
      </c>
      <c r="B63" s="49">
        <f>C63-$C$61</f>
        <v>0</v>
      </c>
      <c r="C63" s="49">
        <f>C62</f>
        <v>0.73263888888888884</v>
      </c>
      <c r="D63" s="96">
        <v>8.1597222222222227E-3</v>
      </c>
      <c r="E63" s="49">
        <f t="shared" ref="E63:E81" si="11">C63+D63</f>
        <v>0.74079861111111112</v>
      </c>
      <c r="F63" s="18" t="s">
        <v>1041</v>
      </c>
      <c r="G63" s="18" t="s">
        <v>266</v>
      </c>
      <c r="H63" s="18"/>
      <c r="I63" s="38" t="s">
        <v>254</v>
      </c>
      <c r="J63" s="18" t="s">
        <v>1038</v>
      </c>
      <c r="K63" s="91"/>
      <c r="L63" s="105">
        <f t="shared" si="9"/>
        <v>0.73263888888888884</v>
      </c>
      <c r="M63" s="105">
        <f t="shared" si="10"/>
        <v>0.74079861111111112</v>
      </c>
      <c r="N63" s="38" t="s">
        <v>255</v>
      </c>
      <c r="O63" s="38" t="s">
        <v>256</v>
      </c>
      <c r="P63" s="38" t="s">
        <v>256</v>
      </c>
      <c r="Q63" s="38" t="s">
        <v>256</v>
      </c>
      <c r="R63" s="38"/>
      <c r="T63" s="4"/>
      <c r="U63" s="4"/>
    </row>
    <row r="64" spans="1:22" x14ac:dyDescent="0.2">
      <c r="A64" s="48" t="s">
        <v>279</v>
      </c>
      <c r="B64" s="49">
        <f>C64-$C$61</f>
        <v>8.1597222222222765E-3</v>
      </c>
      <c r="C64" s="49">
        <f>E63</f>
        <v>0.74079861111111112</v>
      </c>
      <c r="D64" s="96">
        <v>8.1597222222222227E-3</v>
      </c>
      <c r="E64" s="49">
        <f t="shared" si="11"/>
        <v>0.74895833333333339</v>
      </c>
      <c r="F64" s="18" t="s">
        <v>1042</v>
      </c>
      <c r="G64" s="18" t="s">
        <v>266</v>
      </c>
      <c r="H64" s="18"/>
      <c r="I64" s="38" t="s">
        <v>254</v>
      </c>
      <c r="J64" s="18" t="s">
        <v>1038</v>
      </c>
      <c r="K64" s="91"/>
      <c r="L64" s="105">
        <f t="shared" si="9"/>
        <v>0.74079861111111112</v>
      </c>
      <c r="M64" s="105">
        <f t="shared" si="10"/>
        <v>0.74895833333333339</v>
      </c>
      <c r="N64" s="38" t="s">
        <v>255</v>
      </c>
      <c r="O64" s="38" t="s">
        <v>256</v>
      </c>
      <c r="P64" s="38" t="s">
        <v>256</v>
      </c>
      <c r="Q64" s="38" t="s">
        <v>256</v>
      </c>
      <c r="R64" s="38"/>
      <c r="T64" s="4"/>
      <c r="U64" s="4"/>
    </row>
    <row r="65" spans="1:21" x14ac:dyDescent="0.2">
      <c r="A65" s="48" t="s">
        <v>279</v>
      </c>
      <c r="B65" s="49">
        <f>C65-$C$61</f>
        <v>1.6319444444444553E-2</v>
      </c>
      <c r="C65" s="49">
        <f t="shared" ref="C65:C81" si="12">E64</f>
        <v>0.74895833333333339</v>
      </c>
      <c r="D65" s="96">
        <v>8.1597222222222227E-3</v>
      </c>
      <c r="E65" s="49">
        <f t="shared" si="11"/>
        <v>0.75711805555555567</v>
      </c>
      <c r="F65" s="18" t="s">
        <v>1043</v>
      </c>
      <c r="G65" s="18" t="s">
        <v>266</v>
      </c>
      <c r="H65" s="18"/>
      <c r="I65" s="38" t="s">
        <v>254</v>
      </c>
      <c r="J65" s="18" t="s">
        <v>1038</v>
      </c>
      <c r="K65" s="91"/>
      <c r="L65" s="105">
        <f t="shared" si="9"/>
        <v>0.74895833333333339</v>
      </c>
      <c r="M65" s="105">
        <f t="shared" si="10"/>
        <v>0.75711805555555567</v>
      </c>
      <c r="N65" s="38" t="s">
        <v>255</v>
      </c>
      <c r="O65" s="38" t="s">
        <v>256</v>
      </c>
      <c r="P65" s="38" t="s">
        <v>256</v>
      </c>
      <c r="Q65" s="38" t="s">
        <v>256</v>
      </c>
      <c r="R65" s="38"/>
      <c r="T65" s="4"/>
      <c r="U65" s="4"/>
    </row>
    <row r="66" spans="1:21" x14ac:dyDescent="0.2">
      <c r="A66" s="48" t="s">
        <v>279</v>
      </c>
      <c r="B66" s="49">
        <f t="shared" ref="B66:B82" si="13">C66-$C$61</f>
        <v>2.4479166666666829E-2</v>
      </c>
      <c r="C66" s="49">
        <f t="shared" si="12"/>
        <v>0.75711805555555567</v>
      </c>
      <c r="D66" s="96">
        <v>8.1597222222222227E-3</v>
      </c>
      <c r="E66" s="49">
        <f t="shared" si="11"/>
        <v>0.76527777777777795</v>
      </c>
      <c r="F66" s="18" t="s">
        <v>1044</v>
      </c>
      <c r="G66" s="18" t="s">
        <v>266</v>
      </c>
      <c r="H66" s="18"/>
      <c r="I66" s="38" t="s">
        <v>254</v>
      </c>
      <c r="J66" s="18" t="s">
        <v>1038</v>
      </c>
      <c r="K66" s="91"/>
      <c r="L66" s="105">
        <f t="shared" si="9"/>
        <v>0.75711805555555567</v>
      </c>
      <c r="M66" s="105">
        <f t="shared" si="10"/>
        <v>0.76527777777777795</v>
      </c>
      <c r="N66" s="38" t="s">
        <v>255</v>
      </c>
      <c r="O66" s="38" t="s">
        <v>256</v>
      </c>
      <c r="P66" s="38" t="s">
        <v>256</v>
      </c>
      <c r="Q66" s="38" t="s">
        <v>256</v>
      </c>
      <c r="R66" s="38"/>
      <c r="T66" s="4"/>
      <c r="U66" s="4"/>
    </row>
    <row r="67" spans="1:21" x14ac:dyDescent="0.2">
      <c r="A67" s="48" t="s">
        <v>279</v>
      </c>
      <c r="B67" s="49">
        <f t="shared" si="13"/>
        <v>3.2638888888889106E-2</v>
      </c>
      <c r="C67" s="49">
        <f t="shared" si="12"/>
        <v>0.76527777777777795</v>
      </c>
      <c r="D67" s="96">
        <v>8.1597222222222227E-3</v>
      </c>
      <c r="E67" s="49">
        <f t="shared" si="11"/>
        <v>0.77343750000000022</v>
      </c>
      <c r="F67" s="18" t="s">
        <v>1045</v>
      </c>
      <c r="G67" s="18" t="s">
        <v>266</v>
      </c>
      <c r="H67" s="18"/>
      <c r="I67" s="38" t="s">
        <v>254</v>
      </c>
      <c r="J67" s="18" t="s">
        <v>1038</v>
      </c>
      <c r="K67" s="91"/>
      <c r="L67" s="105">
        <f t="shared" si="9"/>
        <v>0.76527777777777795</v>
      </c>
      <c r="M67" s="105">
        <f t="shared" si="10"/>
        <v>0.77343750000000022</v>
      </c>
      <c r="N67" s="38" t="s">
        <v>255</v>
      </c>
      <c r="O67" s="38" t="s">
        <v>256</v>
      </c>
      <c r="P67" s="38" t="s">
        <v>256</v>
      </c>
      <c r="Q67" s="38" t="s">
        <v>256</v>
      </c>
      <c r="R67" s="38"/>
      <c r="T67" s="4"/>
      <c r="U67" s="4"/>
    </row>
    <row r="68" spans="1:21" x14ac:dyDescent="0.2">
      <c r="A68" s="48" t="s">
        <v>279</v>
      </c>
      <c r="B68" s="49">
        <f t="shared" si="13"/>
        <v>4.0798611111111382E-2</v>
      </c>
      <c r="C68" s="49">
        <f t="shared" si="12"/>
        <v>0.77343750000000022</v>
      </c>
      <c r="D68" s="96">
        <v>8.1597222222222227E-3</v>
      </c>
      <c r="E68" s="49">
        <f t="shared" si="11"/>
        <v>0.7815972222222225</v>
      </c>
      <c r="F68" s="18" t="s">
        <v>1046</v>
      </c>
      <c r="G68" s="18" t="s">
        <v>266</v>
      </c>
      <c r="H68" s="18"/>
      <c r="I68" s="38" t="s">
        <v>254</v>
      </c>
      <c r="J68" s="18" t="s">
        <v>1038</v>
      </c>
      <c r="K68" s="91"/>
      <c r="L68" s="105">
        <f t="shared" si="9"/>
        <v>0.77343750000000022</v>
      </c>
      <c r="M68" s="105">
        <f t="shared" si="10"/>
        <v>0.7815972222222225</v>
      </c>
      <c r="N68" s="38" t="s">
        <v>255</v>
      </c>
      <c r="O68" s="38" t="s">
        <v>256</v>
      </c>
      <c r="P68" s="38" t="s">
        <v>256</v>
      </c>
      <c r="Q68" s="38" t="s">
        <v>256</v>
      </c>
      <c r="R68" s="38"/>
      <c r="T68" s="4"/>
      <c r="U68" s="4"/>
    </row>
    <row r="69" spans="1:21" x14ac:dyDescent="0.2">
      <c r="A69" s="48" t="s">
        <v>279</v>
      </c>
      <c r="B69" s="49">
        <f t="shared" si="13"/>
        <v>4.8958333333333659E-2</v>
      </c>
      <c r="C69" s="49">
        <f t="shared" si="12"/>
        <v>0.7815972222222225</v>
      </c>
      <c r="D69" s="96">
        <v>6.9444444444444441E-3</v>
      </c>
      <c r="E69" s="49">
        <f t="shared" si="11"/>
        <v>0.78854166666666692</v>
      </c>
      <c r="F69" s="18" t="s">
        <v>1047</v>
      </c>
      <c r="G69" s="18" t="s">
        <v>266</v>
      </c>
      <c r="H69" s="18"/>
      <c r="I69" s="38" t="s">
        <v>254</v>
      </c>
      <c r="J69" s="18" t="s">
        <v>1038</v>
      </c>
      <c r="K69" s="90"/>
      <c r="L69" s="105">
        <f t="shared" si="9"/>
        <v>0.7815972222222225</v>
      </c>
      <c r="M69" s="105">
        <f t="shared" si="10"/>
        <v>0.78854166666666692</v>
      </c>
      <c r="N69" s="38" t="s">
        <v>255</v>
      </c>
      <c r="O69" s="38" t="s">
        <v>256</v>
      </c>
      <c r="P69" s="38"/>
      <c r="Q69" s="38" t="s">
        <v>256</v>
      </c>
      <c r="R69" s="38"/>
      <c r="T69" s="4"/>
      <c r="U69" s="4"/>
    </row>
    <row r="70" spans="1:21" x14ac:dyDescent="0.2">
      <c r="A70" s="48" t="s">
        <v>279</v>
      </c>
      <c r="B70" s="49">
        <f t="shared" si="13"/>
        <v>5.5902777777778079E-2</v>
      </c>
      <c r="C70" s="49">
        <f t="shared" si="12"/>
        <v>0.78854166666666692</v>
      </c>
      <c r="D70" s="96">
        <v>6.9444444444444441E-3</v>
      </c>
      <c r="E70" s="49">
        <f t="shared" si="11"/>
        <v>0.79548611111111134</v>
      </c>
      <c r="F70" s="18" t="s">
        <v>905</v>
      </c>
      <c r="G70" s="18" t="s">
        <v>266</v>
      </c>
      <c r="H70" s="18"/>
      <c r="I70" s="38" t="s">
        <v>254</v>
      </c>
      <c r="J70" s="18" t="s">
        <v>1038</v>
      </c>
      <c r="K70" s="90"/>
      <c r="L70" s="105">
        <f t="shared" si="9"/>
        <v>0.78854166666666692</v>
      </c>
      <c r="M70" s="105">
        <f t="shared" si="10"/>
        <v>0.79548611111111134</v>
      </c>
      <c r="N70" s="38" t="s">
        <v>255</v>
      </c>
      <c r="O70" s="38" t="s">
        <v>256</v>
      </c>
      <c r="P70" s="38"/>
      <c r="Q70" s="38" t="s">
        <v>256</v>
      </c>
      <c r="R70" s="38"/>
      <c r="T70" s="4"/>
      <c r="U70" s="4"/>
    </row>
    <row r="71" spans="1:21" x14ac:dyDescent="0.2">
      <c r="A71" s="48" t="s">
        <v>279</v>
      </c>
      <c r="B71" s="49">
        <f t="shared" si="13"/>
        <v>6.2847222222222499E-2</v>
      </c>
      <c r="C71" s="49">
        <f t="shared" si="12"/>
        <v>0.79548611111111134</v>
      </c>
      <c r="D71" s="96">
        <v>2.0833333333333333E-3</v>
      </c>
      <c r="E71" s="49">
        <f t="shared" si="11"/>
        <v>0.79756944444444466</v>
      </c>
      <c r="F71" s="18" t="s">
        <v>894</v>
      </c>
      <c r="G71" s="18" t="s">
        <v>266</v>
      </c>
      <c r="H71" s="18"/>
      <c r="I71" s="38" t="s">
        <v>254</v>
      </c>
      <c r="J71" s="18" t="s">
        <v>1038</v>
      </c>
      <c r="K71" s="90"/>
      <c r="L71" s="105">
        <f t="shared" si="9"/>
        <v>0.79548611111111134</v>
      </c>
      <c r="M71" s="105">
        <f t="shared" si="10"/>
        <v>0.79756944444444466</v>
      </c>
      <c r="N71" s="38" t="s">
        <v>255</v>
      </c>
      <c r="O71" s="38" t="s">
        <v>256</v>
      </c>
      <c r="P71" s="38"/>
      <c r="Q71" s="38" t="s">
        <v>256</v>
      </c>
      <c r="R71" s="38"/>
      <c r="T71" s="4"/>
      <c r="U71" s="4"/>
    </row>
    <row r="72" spans="1:21" x14ac:dyDescent="0.2">
      <c r="A72" s="48" t="s">
        <v>279</v>
      </c>
      <c r="B72" s="49">
        <f t="shared" si="13"/>
        <v>6.4930555555555824E-2</v>
      </c>
      <c r="C72" s="49">
        <f t="shared" si="12"/>
        <v>0.79756944444444466</v>
      </c>
      <c r="D72" s="96">
        <v>1.3888888888888889E-3</v>
      </c>
      <c r="E72" s="49">
        <f t="shared" si="11"/>
        <v>0.79895833333333355</v>
      </c>
      <c r="F72" s="69" t="s">
        <v>59</v>
      </c>
      <c r="G72" s="18" t="s">
        <v>266</v>
      </c>
      <c r="H72" s="18"/>
      <c r="I72" s="38" t="s">
        <v>254</v>
      </c>
      <c r="J72" s="18" t="s">
        <v>1038</v>
      </c>
      <c r="K72" s="90"/>
      <c r="L72" s="105">
        <f t="shared" si="9"/>
        <v>0.79756944444444466</v>
      </c>
      <c r="M72" s="105">
        <f t="shared" si="10"/>
        <v>0.79895833333333355</v>
      </c>
      <c r="N72" s="38" t="s">
        <v>255</v>
      </c>
      <c r="O72" s="38" t="s">
        <v>256</v>
      </c>
      <c r="P72" s="38"/>
      <c r="Q72" s="38" t="s">
        <v>256</v>
      </c>
      <c r="R72" s="38"/>
      <c r="T72" s="4"/>
      <c r="U72" s="4"/>
    </row>
    <row r="73" spans="1:21" x14ac:dyDescent="0.2">
      <c r="A73" s="48" t="s">
        <v>279</v>
      </c>
      <c r="B73" s="49">
        <f t="shared" si="13"/>
        <v>6.6319444444444708E-2</v>
      </c>
      <c r="C73" s="49">
        <f t="shared" si="12"/>
        <v>0.79895833333333355</v>
      </c>
      <c r="D73" s="96">
        <f>SUM(D74:D78)</f>
        <v>3.7326388888888888E-2</v>
      </c>
      <c r="E73" s="49">
        <f t="shared" si="11"/>
        <v>0.83628472222222239</v>
      </c>
      <c r="F73" s="18" t="s">
        <v>1048</v>
      </c>
      <c r="G73" s="18" t="s">
        <v>266</v>
      </c>
      <c r="H73" s="18"/>
      <c r="I73" s="38" t="s">
        <v>254</v>
      </c>
      <c r="J73" s="18" t="s">
        <v>1038</v>
      </c>
      <c r="K73" s="91" t="s">
        <v>1049</v>
      </c>
      <c r="L73" s="105">
        <f t="shared" si="9"/>
        <v>0.79895833333333355</v>
      </c>
      <c r="M73" s="105">
        <f t="shared" si="10"/>
        <v>0.83628472222222239</v>
      </c>
      <c r="N73" s="38"/>
      <c r="O73" s="38" t="s">
        <v>256</v>
      </c>
      <c r="P73" s="38" t="s">
        <v>256</v>
      </c>
      <c r="Q73" s="38" t="s">
        <v>256</v>
      </c>
      <c r="R73" s="38"/>
      <c r="T73" s="4"/>
      <c r="U73" s="4"/>
    </row>
    <row r="74" spans="1:21" x14ac:dyDescent="0.2">
      <c r="A74" s="48" t="s">
        <v>279</v>
      </c>
      <c r="B74" s="49">
        <f t="shared" si="13"/>
        <v>6.6319444444444708E-2</v>
      </c>
      <c r="C74" s="49">
        <f>C73</f>
        <v>0.79895833333333355</v>
      </c>
      <c r="D74" s="96">
        <v>7.4652777777777781E-3</v>
      </c>
      <c r="E74" s="49">
        <f t="shared" si="11"/>
        <v>0.80642361111111127</v>
      </c>
      <c r="F74" s="18" t="s">
        <v>1050</v>
      </c>
      <c r="G74" s="18" t="s">
        <v>266</v>
      </c>
      <c r="H74" s="18"/>
      <c r="I74" s="38" t="s">
        <v>254</v>
      </c>
      <c r="J74" s="18" t="s">
        <v>1038</v>
      </c>
      <c r="K74" s="91"/>
      <c r="L74" s="105">
        <f t="shared" si="9"/>
        <v>0.79895833333333355</v>
      </c>
      <c r="M74" s="105">
        <f t="shared" si="10"/>
        <v>0.80642361111111127</v>
      </c>
      <c r="N74" s="38" t="s">
        <v>255</v>
      </c>
      <c r="O74" s="38" t="s">
        <v>256</v>
      </c>
      <c r="P74" s="38" t="s">
        <v>256</v>
      </c>
      <c r="Q74" s="38" t="s">
        <v>256</v>
      </c>
      <c r="R74" s="38"/>
      <c r="T74" s="4"/>
      <c r="U74" s="4"/>
    </row>
    <row r="75" spans="1:21" x14ac:dyDescent="0.2">
      <c r="A75" s="48" t="s">
        <v>279</v>
      </c>
      <c r="B75" s="49">
        <f t="shared" si="13"/>
        <v>7.3784722222222432E-2</v>
      </c>
      <c r="C75" s="49">
        <f t="shared" si="12"/>
        <v>0.80642361111111127</v>
      </c>
      <c r="D75" s="96">
        <v>7.4652777777777781E-3</v>
      </c>
      <c r="E75" s="49">
        <f t="shared" si="11"/>
        <v>0.81388888888888899</v>
      </c>
      <c r="F75" s="18" t="s">
        <v>1051</v>
      </c>
      <c r="G75" s="18" t="s">
        <v>266</v>
      </c>
      <c r="H75" s="18"/>
      <c r="I75" s="38" t="s">
        <v>254</v>
      </c>
      <c r="J75" s="18" t="s">
        <v>1038</v>
      </c>
      <c r="K75" s="91"/>
      <c r="L75" s="105">
        <f t="shared" si="9"/>
        <v>0.80642361111111127</v>
      </c>
      <c r="M75" s="105">
        <f t="shared" si="10"/>
        <v>0.81388888888888899</v>
      </c>
      <c r="N75" s="38" t="s">
        <v>255</v>
      </c>
      <c r="O75" s="38" t="s">
        <v>256</v>
      </c>
      <c r="P75" s="38" t="s">
        <v>256</v>
      </c>
      <c r="Q75" s="38" t="s">
        <v>256</v>
      </c>
      <c r="R75" s="38"/>
      <c r="T75" s="4"/>
      <c r="U75" s="4"/>
    </row>
    <row r="76" spans="1:21" x14ac:dyDescent="0.2">
      <c r="A76" s="48" t="s">
        <v>279</v>
      </c>
      <c r="B76" s="49">
        <f t="shared" si="13"/>
        <v>8.1250000000000155E-2</v>
      </c>
      <c r="C76" s="49">
        <f t="shared" si="12"/>
        <v>0.81388888888888899</v>
      </c>
      <c r="D76" s="96">
        <v>7.4652777777777781E-3</v>
      </c>
      <c r="E76" s="49">
        <f t="shared" si="11"/>
        <v>0.82135416666666672</v>
      </c>
      <c r="F76" s="18" t="s">
        <v>1052</v>
      </c>
      <c r="G76" s="18" t="s">
        <v>266</v>
      </c>
      <c r="H76" s="18"/>
      <c r="I76" s="38" t="s">
        <v>254</v>
      </c>
      <c r="J76" s="18" t="s">
        <v>1038</v>
      </c>
      <c r="K76" s="91"/>
      <c r="L76" s="105">
        <f t="shared" si="9"/>
        <v>0.81388888888888899</v>
      </c>
      <c r="M76" s="105">
        <f t="shared" si="10"/>
        <v>0.82135416666666672</v>
      </c>
      <c r="N76" s="38" t="s">
        <v>255</v>
      </c>
      <c r="O76" s="38" t="s">
        <v>256</v>
      </c>
      <c r="P76" s="38" t="s">
        <v>256</v>
      </c>
      <c r="Q76" s="38" t="s">
        <v>256</v>
      </c>
      <c r="R76" s="38"/>
      <c r="T76" s="4"/>
      <c r="U76" s="4"/>
    </row>
    <row r="77" spans="1:21" x14ac:dyDescent="0.2">
      <c r="A77" s="48" t="s">
        <v>279</v>
      </c>
      <c r="B77" s="49">
        <f t="shared" si="13"/>
        <v>8.8715277777777879E-2</v>
      </c>
      <c r="C77" s="49">
        <f t="shared" si="12"/>
        <v>0.82135416666666672</v>
      </c>
      <c r="D77" s="96">
        <v>7.4652777777777781E-3</v>
      </c>
      <c r="E77" s="49">
        <f t="shared" si="11"/>
        <v>0.82881944444444444</v>
      </c>
      <c r="F77" s="18" t="s">
        <v>1053</v>
      </c>
      <c r="G77" s="18" t="s">
        <v>266</v>
      </c>
      <c r="H77" s="18"/>
      <c r="I77" s="38" t="s">
        <v>254</v>
      </c>
      <c r="J77" s="18" t="s">
        <v>1038</v>
      </c>
      <c r="K77" s="91"/>
      <c r="L77" s="105">
        <f t="shared" si="9"/>
        <v>0.82135416666666672</v>
      </c>
      <c r="M77" s="105">
        <f t="shared" si="10"/>
        <v>0.82881944444444444</v>
      </c>
      <c r="N77" s="38" t="s">
        <v>255</v>
      </c>
      <c r="O77" s="38" t="s">
        <v>256</v>
      </c>
      <c r="P77" s="38" t="s">
        <v>256</v>
      </c>
      <c r="Q77" s="38" t="s">
        <v>256</v>
      </c>
      <c r="R77" s="38"/>
      <c r="T77" s="4"/>
      <c r="U77" s="4"/>
    </row>
    <row r="78" spans="1:21" x14ac:dyDescent="0.2">
      <c r="A78" s="48" t="s">
        <v>279</v>
      </c>
      <c r="B78" s="49">
        <f t="shared" si="13"/>
        <v>9.6180555555555602E-2</v>
      </c>
      <c r="C78" s="49">
        <f t="shared" si="12"/>
        <v>0.82881944444444444</v>
      </c>
      <c r="D78" s="96">
        <v>7.4652777777777781E-3</v>
      </c>
      <c r="E78" s="49">
        <f t="shared" si="11"/>
        <v>0.83628472222222217</v>
      </c>
      <c r="F78" s="18" t="s">
        <v>1054</v>
      </c>
      <c r="G78" s="18" t="s">
        <v>266</v>
      </c>
      <c r="H78" s="18"/>
      <c r="I78" s="38" t="s">
        <v>254</v>
      </c>
      <c r="J78" s="18" t="s">
        <v>1038</v>
      </c>
      <c r="K78" s="91"/>
      <c r="L78" s="105">
        <f t="shared" si="9"/>
        <v>0.82881944444444444</v>
      </c>
      <c r="M78" s="105">
        <f t="shared" si="10"/>
        <v>0.83628472222222217</v>
      </c>
      <c r="N78" s="38" t="s">
        <v>255</v>
      </c>
      <c r="O78" s="38" t="s">
        <v>256</v>
      </c>
      <c r="P78" s="38" t="s">
        <v>256</v>
      </c>
      <c r="Q78" s="38" t="s">
        <v>256</v>
      </c>
      <c r="R78" s="38"/>
      <c r="T78" s="4"/>
      <c r="U78" s="4"/>
    </row>
    <row r="79" spans="1:21" x14ac:dyDescent="0.2">
      <c r="A79" s="48" t="s">
        <v>279</v>
      </c>
      <c r="B79" s="49">
        <f t="shared" si="13"/>
        <v>0.10364583333333333</v>
      </c>
      <c r="C79" s="49">
        <f t="shared" si="12"/>
        <v>0.83628472222222217</v>
      </c>
      <c r="D79" s="96">
        <v>3.472222222222222E-3</v>
      </c>
      <c r="E79" s="49">
        <f t="shared" si="11"/>
        <v>0.83975694444444438</v>
      </c>
      <c r="F79" s="18" t="s">
        <v>931</v>
      </c>
      <c r="G79" s="18" t="s">
        <v>266</v>
      </c>
      <c r="H79" s="18"/>
      <c r="I79" s="38" t="s">
        <v>254</v>
      </c>
      <c r="J79" s="18" t="s">
        <v>1038</v>
      </c>
      <c r="K79" s="90"/>
      <c r="L79" s="105">
        <f t="shared" si="9"/>
        <v>0.83628472222222217</v>
      </c>
      <c r="M79" s="105">
        <f t="shared" si="10"/>
        <v>0.83975694444444438</v>
      </c>
      <c r="N79" s="38" t="s">
        <v>255</v>
      </c>
      <c r="O79" s="38" t="s">
        <v>256</v>
      </c>
      <c r="P79" s="38"/>
      <c r="Q79" s="38" t="s">
        <v>256</v>
      </c>
      <c r="R79" s="38"/>
      <c r="T79" s="4"/>
      <c r="U79" s="4"/>
    </row>
    <row r="80" spans="1:21" x14ac:dyDescent="0.2">
      <c r="A80" s="48" t="s">
        <v>279</v>
      </c>
      <c r="B80" s="49">
        <f t="shared" si="13"/>
        <v>0.10711805555555554</v>
      </c>
      <c r="C80" s="49">
        <f t="shared" si="12"/>
        <v>0.83975694444444438</v>
      </c>
      <c r="D80" s="96">
        <v>5.3240740740740748E-3</v>
      </c>
      <c r="E80" s="49">
        <f t="shared" si="11"/>
        <v>0.84508101851851847</v>
      </c>
      <c r="F80" s="18" t="s">
        <v>1055</v>
      </c>
      <c r="G80" s="18" t="s">
        <v>266</v>
      </c>
      <c r="H80" s="18"/>
      <c r="I80" s="38" t="s">
        <v>254</v>
      </c>
      <c r="J80" s="18" t="s">
        <v>1038</v>
      </c>
      <c r="K80" s="91" t="s">
        <v>1056</v>
      </c>
      <c r="L80" s="105">
        <f t="shared" si="9"/>
        <v>0.83975694444444438</v>
      </c>
      <c r="M80" s="105">
        <f t="shared" si="10"/>
        <v>0.84508101851851847</v>
      </c>
      <c r="N80" s="38"/>
      <c r="O80" s="38" t="s">
        <v>256</v>
      </c>
      <c r="P80" s="38" t="s">
        <v>256</v>
      </c>
      <c r="Q80" s="38" t="s">
        <v>256</v>
      </c>
      <c r="R80" s="38"/>
      <c r="T80" s="4"/>
      <c r="U80" s="4"/>
    </row>
    <row r="81" spans="1:22" x14ac:dyDescent="0.2">
      <c r="A81" s="48" t="s">
        <v>279</v>
      </c>
      <c r="B81" s="49">
        <f t="shared" si="13"/>
        <v>0.11244212962962963</v>
      </c>
      <c r="C81" s="49">
        <f t="shared" si="12"/>
        <v>0.84508101851851847</v>
      </c>
      <c r="D81" s="96">
        <v>5.3240740740740748E-3</v>
      </c>
      <c r="E81" s="49">
        <f t="shared" si="11"/>
        <v>0.85040509259259256</v>
      </c>
      <c r="F81" s="18" t="s">
        <v>1057</v>
      </c>
      <c r="G81" s="18" t="s">
        <v>266</v>
      </c>
      <c r="H81" s="18"/>
      <c r="I81" s="38" t="s">
        <v>254</v>
      </c>
      <c r="J81" s="18" t="s">
        <v>1038</v>
      </c>
      <c r="K81" s="91" t="s">
        <v>1058</v>
      </c>
      <c r="L81" s="105">
        <f t="shared" si="9"/>
        <v>0.84508101851851847</v>
      </c>
      <c r="M81" s="105">
        <f t="shared" si="10"/>
        <v>0.85040509259259256</v>
      </c>
      <c r="N81" s="38"/>
      <c r="O81" s="38" t="s">
        <v>256</v>
      </c>
      <c r="P81" s="38" t="s">
        <v>256</v>
      </c>
      <c r="Q81" s="38" t="s">
        <v>256</v>
      </c>
      <c r="R81" s="38"/>
      <c r="T81" s="4"/>
      <c r="U81" s="4"/>
    </row>
    <row r="82" spans="1:22" s="1" customFormat="1" x14ac:dyDescent="0.2">
      <c r="A82" s="80" t="s">
        <v>279</v>
      </c>
      <c r="B82" s="78">
        <f t="shared" si="13"/>
        <v>0.12152777777777779</v>
      </c>
      <c r="C82" s="78">
        <v>0.85416666666666663</v>
      </c>
      <c r="D82" s="81"/>
      <c r="E82" s="81"/>
      <c r="F82" s="33" t="s">
        <v>62</v>
      </c>
      <c r="G82" s="81"/>
      <c r="H82" s="81"/>
      <c r="I82" s="80" t="s">
        <v>254</v>
      </c>
      <c r="J82" s="81"/>
      <c r="K82" s="81"/>
      <c r="L82" s="109">
        <f t="shared" si="9"/>
        <v>0.85416666666666663</v>
      </c>
      <c r="M82" s="109"/>
      <c r="N82" s="80"/>
      <c r="O82" s="80" t="s">
        <v>256</v>
      </c>
      <c r="P82" s="80" t="s">
        <v>256</v>
      </c>
      <c r="Q82" s="80" t="s">
        <v>256</v>
      </c>
      <c r="R82" s="80" t="s">
        <v>256</v>
      </c>
      <c r="T82" s="73"/>
      <c r="U82" s="73"/>
      <c r="V82" s="74"/>
    </row>
    <row r="83" spans="1:22" x14ac:dyDescent="0.2">
      <c r="A83" s="48"/>
      <c r="B83" s="49">
        <f>C83-$C$62</f>
        <v>0.125</v>
      </c>
      <c r="C83" s="49">
        <v>0.85763888888888884</v>
      </c>
      <c r="D83" s="35"/>
      <c r="E83" s="35"/>
      <c r="F83" s="47" t="s">
        <v>412</v>
      </c>
      <c r="G83" s="18"/>
      <c r="H83" s="18"/>
      <c r="I83" s="38" t="s">
        <v>254</v>
      </c>
      <c r="J83" s="37"/>
      <c r="K83" s="37"/>
      <c r="L83" s="37"/>
      <c r="M83" s="37"/>
      <c r="N83" s="38"/>
      <c r="O83" s="38"/>
      <c r="P83" s="38"/>
      <c r="Q83" s="38"/>
      <c r="R83" s="38"/>
      <c r="T83" s="4"/>
      <c r="U83" s="4"/>
    </row>
    <row r="84" spans="1:22" x14ac:dyDescent="0.2">
      <c r="A84" s="48"/>
      <c r="B84" s="49">
        <f t="shared" ref="B84:B90" si="14">C84-$C$62</f>
        <v>0.12847222222222232</v>
      </c>
      <c r="C84" s="49">
        <v>0.86111111111111116</v>
      </c>
      <c r="D84" s="35"/>
      <c r="E84" s="35"/>
      <c r="F84" s="47" t="s">
        <v>65</v>
      </c>
      <c r="G84" s="18"/>
      <c r="H84" s="18"/>
      <c r="I84" s="38" t="s">
        <v>254</v>
      </c>
      <c r="J84" s="37"/>
      <c r="K84" s="37"/>
      <c r="L84" s="37"/>
      <c r="M84" s="37"/>
      <c r="N84" s="38"/>
      <c r="O84" s="38"/>
      <c r="P84" s="38"/>
      <c r="Q84" s="38"/>
      <c r="R84" s="38" t="s">
        <v>256</v>
      </c>
      <c r="T84" s="4"/>
      <c r="U84" s="4"/>
    </row>
    <row r="85" spans="1:22" x14ac:dyDescent="0.2">
      <c r="A85" s="48"/>
      <c r="B85" s="49">
        <f t="shared" si="14"/>
        <v>0.12847222222222232</v>
      </c>
      <c r="C85" s="49">
        <v>0.86111111111111116</v>
      </c>
      <c r="D85" s="35"/>
      <c r="E85" s="35"/>
      <c r="F85" s="18" t="s">
        <v>362</v>
      </c>
      <c r="G85" s="18"/>
      <c r="H85" s="18"/>
      <c r="I85" s="38" t="s">
        <v>254</v>
      </c>
      <c r="J85" s="37"/>
      <c r="K85" s="37"/>
      <c r="L85" s="37"/>
      <c r="M85" s="37"/>
      <c r="N85" s="38"/>
      <c r="O85" s="38"/>
      <c r="P85" s="38"/>
      <c r="Q85" s="38"/>
      <c r="R85" s="38"/>
      <c r="T85" s="4"/>
      <c r="U85" s="4"/>
    </row>
    <row r="86" spans="1:22" x14ac:dyDescent="0.2">
      <c r="A86" s="48"/>
      <c r="B86" s="49">
        <f>C86-$C$62</f>
        <v>0.17361111111111116</v>
      </c>
      <c r="C86" s="95">
        <v>0.90625</v>
      </c>
      <c r="D86" s="35"/>
      <c r="E86" s="35"/>
      <c r="F86" s="47" t="s">
        <v>413</v>
      </c>
      <c r="G86" s="18"/>
      <c r="H86" s="18"/>
      <c r="I86" s="38" t="s">
        <v>254</v>
      </c>
      <c r="J86" s="37"/>
      <c r="K86" s="37"/>
      <c r="L86" s="37"/>
      <c r="M86" s="37"/>
      <c r="N86" s="38"/>
      <c r="O86" s="38"/>
      <c r="P86" s="38"/>
      <c r="Q86" s="38"/>
      <c r="R86" s="38"/>
      <c r="T86" s="4"/>
      <c r="U86" s="4"/>
    </row>
    <row r="87" spans="1:22" x14ac:dyDescent="0.2">
      <c r="A87" s="48"/>
      <c r="B87" s="49">
        <f t="shared" si="14"/>
        <v>0.14236111111111116</v>
      </c>
      <c r="C87" s="49">
        <v>0.875</v>
      </c>
      <c r="D87" s="35"/>
      <c r="E87" s="35"/>
      <c r="F87" s="20" t="s">
        <v>67</v>
      </c>
      <c r="G87" s="18"/>
      <c r="H87" s="18"/>
      <c r="I87" s="38" t="s">
        <v>254</v>
      </c>
      <c r="J87" s="37"/>
      <c r="K87" s="37"/>
      <c r="L87" s="37"/>
      <c r="M87" s="37"/>
      <c r="N87" s="38"/>
      <c r="O87" s="38"/>
      <c r="P87" s="38"/>
      <c r="Q87" s="38"/>
      <c r="R87" s="38" t="s">
        <v>256</v>
      </c>
      <c r="T87" s="4"/>
      <c r="U87" s="4"/>
    </row>
    <row r="88" spans="1:22" x14ac:dyDescent="0.2">
      <c r="A88" s="48"/>
      <c r="B88" s="49">
        <f>C88-$C$62</f>
        <v>0.16319444444444453</v>
      </c>
      <c r="C88" s="49">
        <v>0.89583333333333337</v>
      </c>
      <c r="D88" s="35"/>
      <c r="E88" s="35"/>
      <c r="F88" s="47" t="s">
        <v>361</v>
      </c>
      <c r="G88" s="18"/>
      <c r="H88" s="18"/>
      <c r="I88" s="38" t="s">
        <v>254</v>
      </c>
      <c r="J88" s="37"/>
      <c r="K88" s="37"/>
      <c r="L88" s="37"/>
      <c r="M88" s="37"/>
      <c r="N88" s="38"/>
      <c r="O88" s="38"/>
      <c r="P88" s="38"/>
      <c r="Q88" s="38"/>
      <c r="R88" s="38"/>
      <c r="T88" s="4"/>
      <c r="U88" s="4"/>
    </row>
    <row r="89" spans="1:22" x14ac:dyDescent="0.2">
      <c r="A89" s="48"/>
      <c r="B89" s="49">
        <f t="shared" si="14"/>
        <v>0.18402777777777779</v>
      </c>
      <c r="C89" s="97">
        <v>0.91666666666666663</v>
      </c>
      <c r="D89" s="35"/>
      <c r="E89" s="35"/>
      <c r="F89" s="18" t="s">
        <v>414</v>
      </c>
      <c r="G89" s="18"/>
      <c r="H89" s="18"/>
      <c r="I89" s="38" t="s">
        <v>254</v>
      </c>
      <c r="J89" s="37"/>
      <c r="K89" s="37"/>
      <c r="L89" s="37"/>
      <c r="M89" s="37"/>
      <c r="N89" s="38"/>
      <c r="O89" s="38"/>
      <c r="P89" s="38"/>
      <c r="Q89" s="38"/>
      <c r="R89" s="38" t="s">
        <v>256</v>
      </c>
      <c r="T89" s="4"/>
      <c r="U89" s="4"/>
    </row>
    <row r="90" spans="1:22" x14ac:dyDescent="0.2">
      <c r="A90" s="48"/>
      <c r="B90" s="49">
        <f t="shared" si="14"/>
        <v>0.20486111111111116</v>
      </c>
      <c r="C90" s="97">
        <v>0.9375</v>
      </c>
      <c r="D90" s="35"/>
      <c r="E90" s="35"/>
      <c r="F90" s="18" t="s">
        <v>415</v>
      </c>
      <c r="G90" s="18"/>
      <c r="H90" s="18"/>
      <c r="I90" s="38" t="s">
        <v>254</v>
      </c>
      <c r="J90" s="37"/>
      <c r="K90" s="37"/>
      <c r="L90" s="37"/>
      <c r="M90" s="37"/>
      <c r="N90" s="38"/>
      <c r="O90" s="38"/>
      <c r="P90" s="38"/>
      <c r="Q90" s="38"/>
      <c r="R90" s="38" t="s">
        <v>256</v>
      </c>
      <c r="T90" s="4"/>
      <c r="U90" s="4"/>
    </row>
    <row r="91" spans="1:22" x14ac:dyDescent="0.2">
      <c r="T91" s="4"/>
      <c r="U91" s="4"/>
    </row>
    <row r="92" spans="1:22" x14ac:dyDescent="0.2">
      <c r="T92" s="4"/>
      <c r="U92" s="4"/>
    </row>
    <row r="93" spans="1:22" x14ac:dyDescent="0.2">
      <c r="T93" s="4"/>
      <c r="U93" s="4"/>
    </row>
    <row r="94" spans="1:22" x14ac:dyDescent="0.2">
      <c r="T94" s="4"/>
      <c r="U94" s="4"/>
    </row>
    <row r="95" spans="1:22" x14ac:dyDescent="0.2">
      <c r="T95" s="4"/>
      <c r="U95" s="4"/>
    </row>
    <row r="96" spans="1:22" x14ac:dyDescent="0.2">
      <c r="T96" s="4"/>
      <c r="U96" s="4"/>
    </row>
    <row r="97" spans="20:21" x14ac:dyDescent="0.2">
      <c r="T97" s="4"/>
      <c r="U97" s="4"/>
    </row>
    <row r="98" spans="20:21" x14ac:dyDescent="0.2">
      <c r="T98" s="4"/>
      <c r="U98" s="4"/>
    </row>
    <row r="99" spans="20:21" x14ac:dyDescent="0.2">
      <c r="T99" s="4"/>
      <c r="U99" s="4"/>
    </row>
    <row r="100" spans="20:21" x14ac:dyDescent="0.2">
      <c r="T100" s="4"/>
      <c r="U100" s="4"/>
    </row>
    <row r="101" spans="20:21" x14ac:dyDescent="0.2">
      <c r="T101" s="4"/>
      <c r="U101" s="4"/>
    </row>
    <row r="102" spans="20:21" x14ac:dyDescent="0.2">
      <c r="T102" s="4"/>
      <c r="U102" s="4"/>
    </row>
    <row r="103" spans="20:21" x14ac:dyDescent="0.2">
      <c r="T103" s="4"/>
      <c r="U103" s="4"/>
    </row>
    <row r="104" spans="20:21" x14ac:dyDescent="0.2">
      <c r="T104" s="4"/>
      <c r="U104" s="4"/>
    </row>
    <row r="105" spans="20:21" x14ac:dyDescent="0.2">
      <c r="T105" s="4"/>
      <c r="U105" s="4"/>
    </row>
    <row r="106" spans="20:21" x14ac:dyDescent="0.2">
      <c r="T106" s="4"/>
      <c r="U106" s="4"/>
    </row>
    <row r="107" spans="20:21" x14ac:dyDescent="0.2">
      <c r="T107" s="4"/>
      <c r="U107" s="4"/>
    </row>
    <row r="108" spans="20:21" x14ac:dyDescent="0.2">
      <c r="T108" s="4"/>
      <c r="U108" s="4"/>
    </row>
    <row r="109" spans="20:21" x14ac:dyDescent="0.2">
      <c r="T109" s="4"/>
      <c r="U109" s="4"/>
    </row>
    <row r="110" spans="20:21" x14ac:dyDescent="0.2">
      <c r="T110" s="4"/>
      <c r="U110" s="4"/>
    </row>
    <row r="111" spans="20:21" x14ac:dyDescent="0.2">
      <c r="T111" s="4"/>
      <c r="U111" s="4"/>
    </row>
    <row r="112" spans="20:21" x14ac:dyDescent="0.2">
      <c r="T112" s="4"/>
      <c r="U112" s="4"/>
    </row>
    <row r="113" spans="20:21" x14ac:dyDescent="0.2">
      <c r="T113" s="4"/>
      <c r="U113" s="4"/>
    </row>
    <row r="114" spans="20:21" x14ac:dyDescent="0.2">
      <c r="T114" s="4"/>
      <c r="U114" s="4"/>
    </row>
    <row r="115" spans="20:21" x14ac:dyDescent="0.2">
      <c r="T115" s="4"/>
      <c r="U115" s="4"/>
    </row>
    <row r="116" spans="20:21" x14ac:dyDescent="0.2">
      <c r="T116" s="4"/>
      <c r="U116" s="4"/>
    </row>
    <row r="117" spans="20:21" x14ac:dyDescent="0.2">
      <c r="T117" s="4"/>
      <c r="U117" s="4"/>
    </row>
    <row r="118" spans="20:21" x14ac:dyDescent="0.2">
      <c r="T118" s="4"/>
      <c r="U118" s="4"/>
    </row>
    <row r="119" spans="20:21" x14ac:dyDescent="0.2">
      <c r="T119" s="4"/>
      <c r="U119" s="4"/>
    </row>
    <row r="120" spans="20:21" x14ac:dyDescent="0.2">
      <c r="T120" s="4"/>
      <c r="U120" s="4"/>
    </row>
    <row r="121" spans="20:21" x14ac:dyDescent="0.2">
      <c r="T121" s="4"/>
      <c r="U121" s="4"/>
    </row>
  </sheetData>
  <sheetProtection algorithmName="SHA-512" hashValue="zUilKr1dCDss9+E/vEDZ0pZD+yOT5BqNdVNgt+Omu4US4gFiK+hB2DlnUANwskEN3st4gZ6HFbpvC9emy0FhXw==" saltValue="NdgUHpZliWEnlVwsiFIFOg==" spinCount="100000" sheet="1" objects="1" scenarios="1"/>
  <mergeCells count="9">
    <mergeCell ref="K2:N2"/>
    <mergeCell ref="O2:R2"/>
    <mergeCell ref="B1:R1"/>
    <mergeCell ref="A2:E2"/>
    <mergeCell ref="F2:F3"/>
    <mergeCell ref="G2:G3"/>
    <mergeCell ref="H2:H3"/>
    <mergeCell ref="I2:I3"/>
    <mergeCell ref="J2:J3"/>
  </mergeCells>
  <phoneticPr fontId="2" type="noConversion"/>
  <dataValidations count="1">
    <dataValidation type="list" allowBlank="1" showInputMessage="1" showErrorMessage="1" sqref="T3" xr:uid="{75219FA1-0C25-4A23-8B4C-FEE8498E9343}">
      <formula1>"SCM,BRD,CER"</formula1>
    </dataValidation>
  </dataValidations>
  <pageMargins left="0.7" right="0.7" top="0.75" bottom="0.75" header="0.3" footer="0.3"/>
  <pageSetup paperSize="8" scale="59" fitToHeight="0" orientation="landscape" r:id="rId1"/>
  <headerFooter>
    <oddHeader>&amp;C&amp;"Calibri"&amp;10&amp;K000000 Official&amp;1#_x000D_</oddHeader>
    <oddFooter>&amp;C_x000D_&amp;1#&amp;"Calibri"&amp;10&amp;K000000 Official</oddFooter>
  </headerFooter>
  <ignoredErrors>
    <ignoredError sqref="D25 D62 D73" formulaRange="1"/>
    <ignoredError sqref="C37 C74" formula="1"/>
  </ignoredError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7A52-8E42-4FC4-9E57-630210652014}">
  <sheetPr>
    <tabColor rgb="FFF71EE5"/>
    <pageSetUpPr fitToPage="1"/>
  </sheetPr>
  <dimension ref="A1:V83"/>
  <sheetViews>
    <sheetView tabSelected="1" topLeftCell="A10" zoomScale="70" zoomScaleNormal="70" workbookViewId="0">
      <selection activeCell="C49" sqref="C49"/>
    </sheetView>
  </sheetViews>
  <sheetFormatPr defaultColWidth="9" defaultRowHeight="14.25" x14ac:dyDescent="0.2"/>
  <cols>
    <col min="1" max="1" width="9.625" bestFit="1" customWidth="1"/>
    <col min="2" max="2" width="10.375" bestFit="1" customWidth="1"/>
    <col min="3" max="3" width="10.125" bestFit="1" customWidth="1"/>
    <col min="4" max="4" width="10" bestFit="1" customWidth="1"/>
    <col min="5" max="5" width="8.625" bestFit="1" customWidth="1"/>
    <col min="6" max="6" width="59.625" customWidth="1"/>
    <col min="7" max="7" width="24.125" customWidth="1"/>
    <col min="8" max="8" width="18.125" customWidth="1"/>
    <col min="9" max="9" width="15.875" style="2" bestFit="1" customWidth="1"/>
    <col min="10" max="10" width="9.125" bestFit="1" customWidth="1"/>
    <col min="11" max="11" width="44.875" customWidth="1"/>
    <col min="12" max="13" width="11.625" customWidth="1"/>
    <col min="14" max="14" width="11.625" style="2" customWidth="1"/>
    <col min="22" max="22" width="9" style="5"/>
    <col min="23" max="23" width="16.125" bestFit="1" customWidth="1"/>
    <col min="25" max="25" width="15.125" customWidth="1"/>
  </cols>
  <sheetData>
    <row r="1" spans="1:22" x14ac:dyDescent="0.2">
      <c r="A1" s="18"/>
      <c r="B1" s="119" t="s">
        <v>1059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</row>
    <row r="2" spans="1:22" x14ac:dyDescent="0.2">
      <c r="A2" s="121" t="s">
        <v>250</v>
      </c>
      <c r="B2" s="121"/>
      <c r="C2" s="121"/>
      <c r="D2" s="121"/>
      <c r="E2" s="121"/>
      <c r="F2" s="119" t="s">
        <v>10</v>
      </c>
      <c r="G2" s="119" t="s">
        <v>11</v>
      </c>
      <c r="H2" s="119" t="s">
        <v>13</v>
      </c>
      <c r="I2" s="120" t="s">
        <v>15</v>
      </c>
      <c r="J2" s="119" t="s">
        <v>17</v>
      </c>
      <c r="K2" s="119" t="s">
        <v>26</v>
      </c>
      <c r="L2" s="119"/>
      <c r="M2" s="119"/>
      <c r="N2" s="119"/>
      <c r="O2" s="119" t="s">
        <v>34</v>
      </c>
      <c r="P2" s="119"/>
      <c r="Q2" s="119"/>
      <c r="R2" s="119"/>
    </row>
    <row r="3" spans="1:22" x14ac:dyDescent="0.2">
      <c r="A3" s="29" t="s">
        <v>0</v>
      </c>
      <c r="B3" s="30" t="s">
        <v>2</v>
      </c>
      <c r="C3" s="30" t="s">
        <v>4</v>
      </c>
      <c r="D3" s="30" t="s">
        <v>6</v>
      </c>
      <c r="E3" s="30" t="s">
        <v>8</v>
      </c>
      <c r="F3" s="119"/>
      <c r="G3" s="119"/>
      <c r="H3" s="119"/>
      <c r="I3" s="120"/>
      <c r="J3" s="119"/>
      <c r="K3" s="7" t="s">
        <v>27</v>
      </c>
      <c r="L3" s="7" t="s">
        <v>4</v>
      </c>
      <c r="M3" s="7" t="s">
        <v>30</v>
      </c>
      <c r="N3" s="28" t="s">
        <v>32</v>
      </c>
      <c r="O3" s="28" t="s">
        <v>35</v>
      </c>
      <c r="P3" s="28" t="s">
        <v>37</v>
      </c>
      <c r="Q3" s="28" t="s">
        <v>39</v>
      </c>
      <c r="R3" s="28" t="s">
        <v>41</v>
      </c>
      <c r="T3" s="3" t="s">
        <v>251</v>
      </c>
    </row>
    <row r="4" spans="1:22" x14ac:dyDescent="0.2">
      <c r="A4" s="48" t="s">
        <v>252</v>
      </c>
      <c r="B4" s="49">
        <f t="shared" ref="B4:B20" si="0">$C$24-C4</f>
        <v>0.21180555555555555</v>
      </c>
      <c r="C4" s="49">
        <v>0.20833333333333334</v>
      </c>
      <c r="D4" s="35"/>
      <c r="E4" s="35"/>
      <c r="F4" s="36" t="s">
        <v>253</v>
      </c>
      <c r="G4" s="18"/>
      <c r="H4" s="18"/>
      <c r="I4" s="38" t="s">
        <v>254</v>
      </c>
      <c r="J4" s="37"/>
      <c r="K4" s="37"/>
      <c r="L4" s="37"/>
      <c r="M4" s="37"/>
      <c r="N4" s="38" t="s">
        <v>255</v>
      </c>
      <c r="O4" s="38"/>
      <c r="P4" s="38"/>
      <c r="Q4" s="38"/>
      <c r="R4" s="38" t="s">
        <v>256</v>
      </c>
    </row>
    <row r="5" spans="1:22" x14ac:dyDescent="0.2">
      <c r="A5" s="48" t="s">
        <v>252</v>
      </c>
      <c r="B5" s="49">
        <f t="shared" si="0"/>
        <v>0.19097222222222224</v>
      </c>
      <c r="C5" s="49">
        <v>0.22916666666666666</v>
      </c>
      <c r="D5" s="35"/>
      <c r="E5" s="35"/>
      <c r="F5" s="39" t="s">
        <v>257</v>
      </c>
      <c r="G5" s="18"/>
      <c r="H5" s="18"/>
      <c r="I5" s="38" t="s">
        <v>254</v>
      </c>
      <c r="J5" s="37"/>
      <c r="K5" s="37"/>
      <c r="L5" s="37"/>
      <c r="M5" s="37"/>
      <c r="N5" s="38" t="s">
        <v>255</v>
      </c>
      <c r="O5" s="38"/>
      <c r="P5" s="38"/>
      <c r="Q5" s="38"/>
      <c r="R5" s="38"/>
    </row>
    <row r="6" spans="1:22" x14ac:dyDescent="0.2">
      <c r="A6" s="48" t="s">
        <v>252</v>
      </c>
      <c r="B6" s="49">
        <f t="shared" si="0"/>
        <v>0.12847222222222221</v>
      </c>
      <c r="C6" s="95">
        <v>0.29166666666666669</v>
      </c>
      <c r="D6" s="35"/>
      <c r="E6" s="35"/>
      <c r="F6" s="18" t="s">
        <v>267</v>
      </c>
      <c r="G6" s="18"/>
      <c r="H6" s="18"/>
      <c r="I6" s="38" t="s">
        <v>254</v>
      </c>
      <c r="J6" s="37"/>
      <c r="K6" s="37"/>
      <c r="L6" s="37"/>
      <c r="M6" s="37"/>
      <c r="N6" s="38" t="s">
        <v>255</v>
      </c>
      <c r="O6" s="38"/>
      <c r="P6" s="38"/>
      <c r="Q6" s="38"/>
      <c r="R6" s="38"/>
      <c r="T6" s="4"/>
      <c r="U6" s="4"/>
    </row>
    <row r="7" spans="1:22" x14ac:dyDescent="0.2">
      <c r="A7" s="48" t="s">
        <v>252</v>
      </c>
      <c r="B7" s="49">
        <f t="shared" si="0"/>
        <v>0.19097222222222224</v>
      </c>
      <c r="C7" s="49">
        <v>0.22916666666666666</v>
      </c>
      <c r="D7" s="35"/>
      <c r="E7" s="35"/>
      <c r="F7" s="36" t="s">
        <v>258</v>
      </c>
      <c r="G7" s="18"/>
      <c r="H7" s="18"/>
      <c r="I7" s="38" t="s">
        <v>254</v>
      </c>
      <c r="J7" s="37"/>
      <c r="K7" s="37"/>
      <c r="L7" s="37"/>
      <c r="M7" s="37"/>
      <c r="N7" s="38" t="s">
        <v>255</v>
      </c>
      <c r="O7" s="38"/>
      <c r="P7" s="38"/>
      <c r="Q7" s="38"/>
      <c r="R7" s="38" t="s">
        <v>256</v>
      </c>
      <c r="T7" s="4"/>
      <c r="U7" s="4"/>
      <c r="V7" s="6"/>
    </row>
    <row r="8" spans="1:22" x14ac:dyDescent="0.2">
      <c r="A8" s="48" t="s">
        <v>252</v>
      </c>
      <c r="B8" s="49">
        <f t="shared" si="0"/>
        <v>0.16319444444444442</v>
      </c>
      <c r="C8" s="115">
        <v>0.25694444444444448</v>
      </c>
      <c r="D8" s="35"/>
      <c r="E8" s="35"/>
      <c r="F8" s="18" t="s">
        <v>891</v>
      </c>
      <c r="G8" s="18"/>
      <c r="H8" s="18"/>
      <c r="I8" s="38" t="s">
        <v>254</v>
      </c>
      <c r="J8" s="37"/>
      <c r="K8" s="37"/>
      <c r="L8" s="37"/>
      <c r="M8" s="37"/>
      <c r="N8" s="38" t="s">
        <v>255</v>
      </c>
      <c r="O8" s="38"/>
      <c r="P8" s="38"/>
      <c r="Q8" s="38"/>
      <c r="R8" s="38" t="s">
        <v>256</v>
      </c>
      <c r="T8" s="4"/>
      <c r="U8" s="4"/>
      <c r="V8" s="6"/>
    </row>
    <row r="9" spans="1:22" x14ac:dyDescent="0.2">
      <c r="A9" s="48" t="s">
        <v>252</v>
      </c>
      <c r="B9" s="49">
        <f t="shared" si="0"/>
        <v>0.14930555555555558</v>
      </c>
      <c r="C9" s="49">
        <v>0.27083333333333331</v>
      </c>
      <c r="D9" s="35"/>
      <c r="E9" s="35"/>
      <c r="F9" s="18" t="s">
        <v>262</v>
      </c>
      <c r="G9" s="18"/>
      <c r="H9" s="18"/>
      <c r="I9" s="38" t="s">
        <v>254</v>
      </c>
      <c r="J9" s="37"/>
      <c r="K9" s="37"/>
      <c r="L9" s="37"/>
      <c r="M9" s="37"/>
      <c r="N9" s="38" t="s">
        <v>255</v>
      </c>
      <c r="O9" s="38"/>
      <c r="P9" s="38"/>
      <c r="Q9" s="38"/>
      <c r="R9" s="38"/>
      <c r="T9" s="4"/>
      <c r="U9" s="4"/>
    </row>
    <row r="10" spans="1:22" x14ac:dyDescent="0.2">
      <c r="A10" s="48" t="s">
        <v>252</v>
      </c>
      <c r="B10" s="49">
        <f t="shared" si="0"/>
        <v>0.14930555555555558</v>
      </c>
      <c r="C10" s="49">
        <v>0.27083333333333331</v>
      </c>
      <c r="D10" s="49">
        <f>E10-C10</f>
        <v>6.25E-2</v>
      </c>
      <c r="E10" s="49">
        <v>0.33333333333333331</v>
      </c>
      <c r="F10" s="84" t="s">
        <v>937</v>
      </c>
      <c r="G10" s="18"/>
      <c r="H10" s="18"/>
      <c r="I10" s="38" t="s">
        <v>254</v>
      </c>
      <c r="J10" s="37"/>
      <c r="K10" s="37"/>
      <c r="L10" s="37"/>
      <c r="M10" s="37"/>
      <c r="N10" s="38" t="s">
        <v>255</v>
      </c>
      <c r="O10" s="38"/>
      <c r="P10" s="38"/>
      <c r="Q10" s="38"/>
      <c r="R10" s="38" t="s">
        <v>256</v>
      </c>
      <c r="T10" s="4"/>
      <c r="U10" s="4"/>
    </row>
    <row r="11" spans="1:22" x14ac:dyDescent="0.2">
      <c r="A11" s="48" t="s">
        <v>252</v>
      </c>
      <c r="B11" s="49">
        <f t="shared" si="0"/>
        <v>0.12847222222222221</v>
      </c>
      <c r="C11" s="49">
        <v>0.29166666666666669</v>
      </c>
      <c r="D11" s="49">
        <f>E11-C11</f>
        <v>6.25E-2</v>
      </c>
      <c r="E11" s="96">
        <v>0.35416666666666669</v>
      </c>
      <c r="F11" s="18" t="s">
        <v>938</v>
      </c>
      <c r="G11" s="18" t="s">
        <v>266</v>
      </c>
      <c r="H11" s="18"/>
      <c r="I11" s="38" t="s">
        <v>254</v>
      </c>
      <c r="J11" s="37"/>
      <c r="K11" s="37"/>
      <c r="L11" s="37"/>
      <c r="M11" s="37"/>
      <c r="N11" s="38" t="s">
        <v>255</v>
      </c>
      <c r="O11" s="38" t="s">
        <v>256</v>
      </c>
      <c r="P11" s="38"/>
      <c r="Q11" s="38"/>
      <c r="R11" s="38" t="s">
        <v>256</v>
      </c>
      <c r="T11" s="4"/>
      <c r="U11" s="4"/>
    </row>
    <row r="12" spans="1:22" x14ac:dyDescent="0.2">
      <c r="A12" s="48" t="s">
        <v>252</v>
      </c>
      <c r="B12" s="49">
        <f t="shared" si="0"/>
        <v>8.680555555555558E-2</v>
      </c>
      <c r="C12" s="96">
        <v>0.33333333333333331</v>
      </c>
      <c r="D12" s="96">
        <f>E12-C12</f>
        <v>0.20833333333333331</v>
      </c>
      <c r="E12" s="96">
        <v>0.54166666666666663</v>
      </c>
      <c r="F12" s="18" t="s">
        <v>892</v>
      </c>
      <c r="G12" s="18"/>
      <c r="H12" s="18"/>
      <c r="I12" s="38" t="s">
        <v>254</v>
      </c>
      <c r="J12" s="37"/>
      <c r="K12" s="37"/>
      <c r="L12" s="37"/>
      <c r="M12" s="37"/>
      <c r="N12" s="38" t="s">
        <v>255</v>
      </c>
      <c r="O12" s="38"/>
      <c r="P12" s="38"/>
      <c r="Q12" s="38"/>
      <c r="R12" s="38"/>
      <c r="T12" s="4"/>
      <c r="U12" s="4"/>
    </row>
    <row r="13" spans="1:22" x14ac:dyDescent="0.2">
      <c r="A13" s="48" t="s">
        <v>252</v>
      </c>
      <c r="B13" s="49">
        <f t="shared" si="0"/>
        <v>8.680555555555558E-2</v>
      </c>
      <c r="C13" s="96">
        <v>0.33333333333333331</v>
      </c>
      <c r="D13" s="35"/>
      <c r="E13" s="35"/>
      <c r="F13" s="20" t="s">
        <v>53</v>
      </c>
      <c r="G13" s="18"/>
      <c r="H13" s="18"/>
      <c r="I13" s="38" t="s">
        <v>254</v>
      </c>
      <c r="J13" s="37"/>
      <c r="K13" s="37"/>
      <c r="L13" s="37"/>
      <c r="M13" s="37"/>
      <c r="N13" s="38" t="s">
        <v>255</v>
      </c>
      <c r="O13" s="38"/>
      <c r="P13" s="38"/>
      <c r="Q13" s="38"/>
      <c r="R13" s="38" t="s">
        <v>256</v>
      </c>
      <c r="T13" s="4"/>
      <c r="U13" s="4"/>
    </row>
    <row r="14" spans="1:22" x14ac:dyDescent="0.2">
      <c r="A14" s="48" t="s">
        <v>252</v>
      </c>
      <c r="B14" s="49">
        <f t="shared" si="0"/>
        <v>6.597222222222221E-2</v>
      </c>
      <c r="C14" s="96">
        <v>0.35416666666666669</v>
      </c>
      <c r="D14" s="96">
        <f>E14-C14</f>
        <v>4.8611111111111049E-2</v>
      </c>
      <c r="E14" s="96">
        <v>0.40277777777777773</v>
      </c>
      <c r="F14" s="18" t="s">
        <v>893</v>
      </c>
      <c r="G14" s="18" t="s">
        <v>266</v>
      </c>
      <c r="H14" s="18"/>
      <c r="I14" s="38" t="s">
        <v>254</v>
      </c>
      <c r="J14" s="37"/>
      <c r="K14" s="37"/>
      <c r="L14" s="37"/>
      <c r="M14" s="37"/>
      <c r="N14" s="38" t="s">
        <v>255</v>
      </c>
      <c r="O14" s="38"/>
      <c r="P14" s="38"/>
      <c r="Q14" s="38"/>
      <c r="R14" s="38"/>
      <c r="T14" s="4"/>
      <c r="U14" s="4"/>
    </row>
    <row r="15" spans="1:22" x14ac:dyDescent="0.2">
      <c r="A15" s="48" t="s">
        <v>252</v>
      </c>
      <c r="B15" s="49">
        <f t="shared" si="0"/>
        <v>6.597222222222221E-2</v>
      </c>
      <c r="C15" s="49">
        <v>0.35416666666666669</v>
      </c>
      <c r="D15" s="35"/>
      <c r="E15" s="35"/>
      <c r="F15" s="18" t="s">
        <v>270</v>
      </c>
      <c r="G15" s="18"/>
      <c r="H15" s="18"/>
      <c r="I15" s="38" t="s">
        <v>254</v>
      </c>
      <c r="J15" s="37"/>
      <c r="K15" s="37"/>
      <c r="L15" s="37"/>
      <c r="M15" s="37"/>
      <c r="N15" s="38" t="s">
        <v>255</v>
      </c>
      <c r="O15" s="38"/>
      <c r="P15" s="38"/>
      <c r="Q15" s="38"/>
      <c r="R15" s="38" t="s">
        <v>256</v>
      </c>
      <c r="T15" s="4"/>
      <c r="U15" s="4"/>
      <c r="V15" s="6"/>
    </row>
    <row r="16" spans="1:22" x14ac:dyDescent="0.2">
      <c r="A16" s="48" t="s">
        <v>252</v>
      </c>
      <c r="B16" s="49">
        <f t="shared" si="0"/>
        <v>6.597222222222221E-2</v>
      </c>
      <c r="C16" s="49">
        <v>0.35416666666666669</v>
      </c>
      <c r="D16" s="35"/>
      <c r="E16" s="35"/>
      <c r="F16" s="18" t="s">
        <v>366</v>
      </c>
      <c r="G16" s="18"/>
      <c r="H16" s="18"/>
      <c r="I16" s="38" t="s">
        <v>254</v>
      </c>
      <c r="J16" s="37"/>
      <c r="K16" s="37"/>
      <c r="L16" s="37"/>
      <c r="M16" s="37"/>
      <c r="N16" s="38" t="s">
        <v>255</v>
      </c>
      <c r="O16" s="38"/>
      <c r="P16" s="38"/>
      <c r="Q16" s="38"/>
      <c r="R16" s="38" t="s">
        <v>256</v>
      </c>
      <c r="T16" s="4"/>
      <c r="U16" s="4"/>
    </row>
    <row r="17" spans="1:22" x14ac:dyDescent="0.2">
      <c r="A17" s="48" t="s">
        <v>252</v>
      </c>
      <c r="B17" s="49">
        <f t="shared" si="0"/>
        <v>6.597222222222221E-2</v>
      </c>
      <c r="C17" s="49">
        <v>0.35416666666666669</v>
      </c>
      <c r="D17" s="35"/>
      <c r="E17" s="35"/>
      <c r="F17" s="18" t="s">
        <v>55</v>
      </c>
      <c r="G17" s="18"/>
      <c r="H17" s="18"/>
      <c r="I17" s="38" t="s">
        <v>254</v>
      </c>
      <c r="J17" s="37"/>
      <c r="K17" s="37"/>
      <c r="L17" s="37"/>
      <c r="M17" s="37"/>
      <c r="N17" s="38" t="s">
        <v>255</v>
      </c>
      <c r="O17" s="38" t="s">
        <v>256</v>
      </c>
      <c r="P17" s="38"/>
      <c r="Q17" s="38" t="s">
        <v>256</v>
      </c>
      <c r="R17" s="38" t="s">
        <v>256</v>
      </c>
      <c r="T17" s="4"/>
      <c r="U17" s="4"/>
    </row>
    <row r="18" spans="1:22" x14ac:dyDescent="0.2">
      <c r="A18" s="48" t="s">
        <v>252</v>
      </c>
      <c r="B18" s="49">
        <f t="shared" si="0"/>
        <v>4.5138888888888895E-2</v>
      </c>
      <c r="C18" s="49">
        <v>0.375</v>
      </c>
      <c r="D18" s="35"/>
      <c r="E18" s="35"/>
      <c r="F18" s="18" t="s">
        <v>52</v>
      </c>
      <c r="G18" s="18"/>
      <c r="H18" s="18"/>
      <c r="I18" s="38" t="s">
        <v>254</v>
      </c>
      <c r="J18" s="37"/>
      <c r="K18" s="37"/>
      <c r="L18" s="37"/>
      <c r="M18" s="37"/>
      <c r="N18" s="38" t="s">
        <v>255</v>
      </c>
      <c r="O18" s="38"/>
      <c r="P18" s="38"/>
      <c r="Q18" s="38"/>
      <c r="R18" s="38"/>
      <c r="T18" s="4"/>
      <c r="U18" s="4"/>
    </row>
    <row r="19" spans="1:22" x14ac:dyDescent="0.2">
      <c r="A19" s="48" t="s">
        <v>252</v>
      </c>
      <c r="B19" s="49">
        <f t="shared" si="0"/>
        <v>1.736111111111116E-2</v>
      </c>
      <c r="C19" s="49">
        <v>0.40277777777777773</v>
      </c>
      <c r="D19" s="35"/>
      <c r="E19" s="35"/>
      <c r="F19" s="18" t="s">
        <v>273</v>
      </c>
      <c r="G19" s="18" t="s">
        <v>266</v>
      </c>
      <c r="H19" s="18"/>
      <c r="I19" s="38" t="s">
        <v>254</v>
      </c>
      <c r="J19" s="37"/>
      <c r="K19" s="37"/>
      <c r="L19" s="37"/>
      <c r="M19" s="37"/>
      <c r="N19" s="38" t="s">
        <v>255</v>
      </c>
      <c r="O19" s="38" t="s">
        <v>256</v>
      </c>
      <c r="P19" s="38" t="s">
        <v>256</v>
      </c>
      <c r="Q19" s="38" t="s">
        <v>256</v>
      </c>
      <c r="R19" s="38" t="s">
        <v>256</v>
      </c>
      <c r="T19" s="4"/>
      <c r="U19" s="4"/>
    </row>
    <row r="20" spans="1:22" x14ac:dyDescent="0.2">
      <c r="A20" s="48" t="s">
        <v>252</v>
      </c>
      <c r="B20" s="49">
        <f t="shared" si="0"/>
        <v>1.3888888888888895E-2</v>
      </c>
      <c r="C20" s="49">
        <v>0.40625</v>
      </c>
      <c r="D20" s="35"/>
      <c r="E20" s="35"/>
      <c r="F20" s="18" t="s">
        <v>56</v>
      </c>
      <c r="G20" s="18"/>
      <c r="H20" s="18"/>
      <c r="I20" s="38" t="s">
        <v>254</v>
      </c>
      <c r="J20" s="37"/>
      <c r="K20" s="37"/>
      <c r="L20" s="37"/>
      <c r="M20" s="37"/>
      <c r="N20" s="38" t="s">
        <v>255</v>
      </c>
      <c r="O20" s="38" t="s">
        <v>256</v>
      </c>
      <c r="P20" s="38" t="s">
        <v>256</v>
      </c>
      <c r="Q20" s="38" t="s">
        <v>256</v>
      </c>
      <c r="R20" s="38" t="s">
        <v>256</v>
      </c>
      <c r="T20" s="4"/>
      <c r="U20" s="4"/>
    </row>
    <row r="21" spans="1:22" s="1" customFormat="1" x14ac:dyDescent="0.2">
      <c r="A21" s="75" t="s">
        <v>252</v>
      </c>
      <c r="B21" s="77">
        <f t="shared" ref="B21:B23" si="1">$C$24-C21</f>
        <v>3.4722222222222099E-3</v>
      </c>
      <c r="C21" s="77">
        <v>0.41666666666666669</v>
      </c>
      <c r="D21" s="76"/>
      <c r="E21" s="76"/>
      <c r="F21" s="31" t="s">
        <v>57</v>
      </c>
      <c r="G21" s="76"/>
      <c r="H21" s="76"/>
      <c r="I21" s="75" t="s">
        <v>254</v>
      </c>
      <c r="J21" s="76"/>
      <c r="K21" s="76"/>
      <c r="L21" s="108">
        <f t="shared" ref="L21:L44" si="2">C21</f>
        <v>0.41666666666666669</v>
      </c>
      <c r="M21" s="108"/>
      <c r="N21" s="75"/>
      <c r="O21" s="75" t="s">
        <v>256</v>
      </c>
      <c r="P21" s="75" t="s">
        <v>256</v>
      </c>
      <c r="Q21" s="75" t="s">
        <v>256</v>
      </c>
      <c r="R21" s="75" t="s">
        <v>256</v>
      </c>
      <c r="T21" s="73"/>
      <c r="U21" s="73"/>
      <c r="V21" s="74"/>
    </row>
    <row r="22" spans="1:22" x14ac:dyDescent="0.2">
      <c r="A22" s="48" t="s">
        <v>252</v>
      </c>
      <c r="B22" s="49">
        <f t="shared" si="1"/>
        <v>3.4722222222222099E-3</v>
      </c>
      <c r="C22" s="49">
        <v>0.41666666666666669</v>
      </c>
      <c r="D22" s="49">
        <v>2.0833333333333333E-3</v>
      </c>
      <c r="E22" s="49">
        <f>C22+D22</f>
        <v>0.41875000000000001</v>
      </c>
      <c r="F22" s="20" t="s">
        <v>894</v>
      </c>
      <c r="G22" s="18" t="s">
        <v>266</v>
      </c>
      <c r="H22" s="18"/>
      <c r="I22" s="38" t="s">
        <v>254</v>
      </c>
      <c r="J22" s="18" t="s">
        <v>1060</v>
      </c>
      <c r="K22" s="37"/>
      <c r="L22" s="105">
        <f t="shared" si="2"/>
        <v>0.41666666666666669</v>
      </c>
      <c r="M22" s="105">
        <f t="shared" ref="M22:M43" si="3">E22</f>
        <v>0.41875000000000001</v>
      </c>
      <c r="N22" s="38" t="s">
        <v>255</v>
      </c>
      <c r="O22" s="38" t="s">
        <v>256</v>
      </c>
      <c r="P22" s="38" t="s">
        <v>256</v>
      </c>
      <c r="Q22" s="38" t="s">
        <v>256</v>
      </c>
      <c r="R22" s="38"/>
      <c r="T22" s="4"/>
      <c r="U22" s="4"/>
    </row>
    <row r="23" spans="1:22" x14ac:dyDescent="0.2">
      <c r="A23" s="48" t="s">
        <v>252</v>
      </c>
      <c r="B23" s="49">
        <f t="shared" si="1"/>
        <v>1.388888888888884E-3</v>
      </c>
      <c r="C23" s="49">
        <f>E22</f>
        <v>0.41875000000000001</v>
      </c>
      <c r="D23" s="49">
        <v>1.3888888888888889E-3</v>
      </c>
      <c r="E23" s="49">
        <f>C23+D23</f>
        <v>0.4201388888888889</v>
      </c>
      <c r="F23" s="18" t="s">
        <v>59</v>
      </c>
      <c r="G23" s="18" t="s">
        <v>266</v>
      </c>
      <c r="H23" s="18"/>
      <c r="I23" s="38" t="s">
        <v>254</v>
      </c>
      <c r="J23" s="18" t="s">
        <v>1060</v>
      </c>
      <c r="K23" s="37"/>
      <c r="L23" s="105">
        <f t="shared" si="2"/>
        <v>0.41875000000000001</v>
      </c>
      <c r="M23" s="105">
        <f t="shared" si="3"/>
        <v>0.4201388888888889</v>
      </c>
      <c r="N23" s="38" t="s">
        <v>255</v>
      </c>
      <c r="O23" s="38" t="s">
        <v>256</v>
      </c>
      <c r="P23" s="38" t="s">
        <v>256</v>
      </c>
      <c r="Q23" s="38" t="s">
        <v>256</v>
      </c>
      <c r="R23" s="38"/>
      <c r="T23" s="4"/>
      <c r="U23" s="4"/>
    </row>
    <row r="24" spans="1:22" s="1" customFormat="1" x14ac:dyDescent="0.2">
      <c r="A24" s="70" t="s">
        <v>279</v>
      </c>
      <c r="B24" s="72">
        <v>0</v>
      </c>
      <c r="C24" s="72">
        <f>E23</f>
        <v>0.4201388888888889</v>
      </c>
      <c r="D24" s="71"/>
      <c r="E24" s="71"/>
      <c r="F24" s="32" t="s">
        <v>60</v>
      </c>
      <c r="G24" s="71"/>
      <c r="H24" s="71"/>
      <c r="I24" s="70" t="s">
        <v>254</v>
      </c>
      <c r="J24" s="71" t="s">
        <v>1060</v>
      </c>
      <c r="K24" s="71"/>
      <c r="L24" s="114">
        <f t="shared" si="2"/>
        <v>0.4201388888888889</v>
      </c>
      <c r="M24" s="114"/>
      <c r="N24" s="70" t="s">
        <v>255</v>
      </c>
      <c r="O24" s="70" t="s">
        <v>256</v>
      </c>
      <c r="P24" s="70" t="s">
        <v>256</v>
      </c>
      <c r="Q24" s="70" t="s">
        <v>256</v>
      </c>
      <c r="R24" s="70" t="s">
        <v>256</v>
      </c>
      <c r="T24" s="73"/>
      <c r="U24" s="73"/>
      <c r="V24" s="74"/>
    </row>
    <row r="25" spans="1:22" x14ac:dyDescent="0.2">
      <c r="A25" s="48" t="s">
        <v>279</v>
      </c>
      <c r="B25" s="49">
        <f>C25-$C$24</f>
        <v>0</v>
      </c>
      <c r="C25" s="96">
        <f>C24</f>
        <v>0.4201388888888889</v>
      </c>
      <c r="D25" s="96">
        <f>SUM(D26:D30)</f>
        <v>3.4432870370370371E-2</v>
      </c>
      <c r="E25" s="96">
        <f>C25+D25</f>
        <v>0.45457175925925924</v>
      </c>
      <c r="F25" s="18" t="s">
        <v>1061</v>
      </c>
      <c r="G25" s="18" t="s">
        <v>266</v>
      </c>
      <c r="H25" s="18"/>
      <c r="I25" s="38" t="s">
        <v>254</v>
      </c>
      <c r="J25" s="18" t="s">
        <v>1060</v>
      </c>
      <c r="K25" s="91" t="s">
        <v>1062</v>
      </c>
      <c r="L25" s="105">
        <f t="shared" si="2"/>
        <v>0.4201388888888889</v>
      </c>
      <c r="M25" s="105">
        <f t="shared" si="3"/>
        <v>0.45457175925925924</v>
      </c>
      <c r="N25" s="38"/>
      <c r="O25" s="38" t="s">
        <v>256</v>
      </c>
      <c r="P25" s="38" t="s">
        <v>256</v>
      </c>
      <c r="Q25" s="38" t="s">
        <v>256</v>
      </c>
      <c r="R25" s="38"/>
      <c r="T25" s="4"/>
      <c r="U25" s="4"/>
    </row>
    <row r="26" spans="1:22" x14ac:dyDescent="0.2">
      <c r="A26" s="48" t="s">
        <v>279</v>
      </c>
      <c r="B26" s="49">
        <f t="shared" ref="B26:B51" si="4">C26-$C$24</f>
        <v>0</v>
      </c>
      <c r="C26" s="96">
        <f>C24</f>
        <v>0.4201388888888889</v>
      </c>
      <c r="D26" s="96">
        <v>6.8865740740740736E-3</v>
      </c>
      <c r="E26" s="96">
        <f t="shared" ref="E26:E39" si="5">C26+D26</f>
        <v>0.42702546296296295</v>
      </c>
      <c r="F26" s="18" t="s">
        <v>1063</v>
      </c>
      <c r="G26" s="18" t="s">
        <v>266</v>
      </c>
      <c r="H26" s="18"/>
      <c r="I26" s="38" t="s">
        <v>254</v>
      </c>
      <c r="J26" s="18" t="s">
        <v>1060</v>
      </c>
      <c r="K26" s="91"/>
      <c r="L26" s="105">
        <f t="shared" si="2"/>
        <v>0.4201388888888889</v>
      </c>
      <c r="M26" s="105">
        <f t="shared" si="3"/>
        <v>0.42702546296296295</v>
      </c>
      <c r="N26" s="38" t="s">
        <v>255</v>
      </c>
      <c r="O26" s="38" t="s">
        <v>256</v>
      </c>
      <c r="P26" s="38" t="s">
        <v>256</v>
      </c>
      <c r="Q26" s="38" t="s">
        <v>256</v>
      </c>
      <c r="R26" s="38"/>
      <c r="T26" s="4"/>
      <c r="U26" s="4"/>
    </row>
    <row r="27" spans="1:22" x14ac:dyDescent="0.2">
      <c r="A27" s="48" t="s">
        <v>279</v>
      </c>
      <c r="B27" s="49">
        <f t="shared" si="4"/>
        <v>6.8865740740740589E-3</v>
      </c>
      <c r="C27" s="96">
        <f>E26</f>
        <v>0.42702546296296295</v>
      </c>
      <c r="D27" s="96">
        <v>6.8865740740740736E-3</v>
      </c>
      <c r="E27" s="96">
        <f t="shared" si="5"/>
        <v>0.43391203703703701</v>
      </c>
      <c r="F27" s="18" t="s">
        <v>1064</v>
      </c>
      <c r="G27" s="18" t="s">
        <v>266</v>
      </c>
      <c r="H27" s="18"/>
      <c r="I27" s="38" t="s">
        <v>254</v>
      </c>
      <c r="J27" s="18" t="s">
        <v>1060</v>
      </c>
      <c r="K27" s="91"/>
      <c r="L27" s="105">
        <f t="shared" si="2"/>
        <v>0.42702546296296295</v>
      </c>
      <c r="M27" s="105">
        <f t="shared" si="3"/>
        <v>0.43391203703703701</v>
      </c>
      <c r="N27" s="38" t="s">
        <v>255</v>
      </c>
      <c r="O27" s="38" t="s">
        <v>256</v>
      </c>
      <c r="P27" s="38" t="s">
        <v>256</v>
      </c>
      <c r="Q27" s="38" t="s">
        <v>256</v>
      </c>
      <c r="R27" s="38"/>
      <c r="T27" s="4"/>
      <c r="U27" s="4"/>
    </row>
    <row r="28" spans="1:22" x14ac:dyDescent="0.2">
      <c r="A28" s="48" t="s">
        <v>279</v>
      </c>
      <c r="B28" s="49">
        <f t="shared" si="4"/>
        <v>1.3773148148148118E-2</v>
      </c>
      <c r="C28" s="96">
        <f t="shared" ref="C28:C43" si="6">E27</f>
        <v>0.43391203703703701</v>
      </c>
      <c r="D28" s="96">
        <v>6.8865740740740736E-3</v>
      </c>
      <c r="E28" s="96">
        <f t="shared" si="5"/>
        <v>0.44079861111111107</v>
      </c>
      <c r="F28" s="18" t="s">
        <v>1065</v>
      </c>
      <c r="G28" s="18" t="s">
        <v>266</v>
      </c>
      <c r="H28" s="18"/>
      <c r="I28" s="38" t="s">
        <v>254</v>
      </c>
      <c r="J28" s="18" t="s">
        <v>1060</v>
      </c>
      <c r="K28" s="91"/>
      <c r="L28" s="105">
        <f t="shared" si="2"/>
        <v>0.43391203703703701</v>
      </c>
      <c r="M28" s="105">
        <f t="shared" si="3"/>
        <v>0.44079861111111107</v>
      </c>
      <c r="N28" s="38" t="s">
        <v>255</v>
      </c>
      <c r="O28" s="38" t="s">
        <v>256</v>
      </c>
      <c r="P28" s="38" t="s">
        <v>256</v>
      </c>
      <c r="Q28" s="38" t="s">
        <v>256</v>
      </c>
      <c r="R28" s="38"/>
      <c r="T28" s="4"/>
      <c r="U28" s="4"/>
    </row>
    <row r="29" spans="1:22" x14ac:dyDescent="0.2">
      <c r="A29" s="48" t="s">
        <v>279</v>
      </c>
      <c r="B29" s="49">
        <f t="shared" si="4"/>
        <v>2.0659722222222177E-2</v>
      </c>
      <c r="C29" s="96">
        <f t="shared" si="6"/>
        <v>0.44079861111111107</v>
      </c>
      <c r="D29" s="96">
        <v>6.8865740740740736E-3</v>
      </c>
      <c r="E29" s="96">
        <f t="shared" si="5"/>
        <v>0.44768518518518513</v>
      </c>
      <c r="F29" s="18" t="s">
        <v>1066</v>
      </c>
      <c r="G29" s="18" t="s">
        <v>266</v>
      </c>
      <c r="H29" s="18"/>
      <c r="I29" s="38" t="s">
        <v>254</v>
      </c>
      <c r="J29" s="18" t="s">
        <v>1060</v>
      </c>
      <c r="K29" s="91"/>
      <c r="L29" s="105">
        <f t="shared" si="2"/>
        <v>0.44079861111111107</v>
      </c>
      <c r="M29" s="105">
        <f t="shared" si="3"/>
        <v>0.44768518518518513</v>
      </c>
      <c r="N29" s="38" t="s">
        <v>255</v>
      </c>
      <c r="O29" s="38" t="s">
        <v>256</v>
      </c>
      <c r="P29" s="38" t="s">
        <v>256</v>
      </c>
      <c r="Q29" s="38" t="s">
        <v>256</v>
      </c>
      <c r="R29" s="38"/>
      <c r="T29" s="4"/>
      <c r="U29" s="4"/>
    </row>
    <row r="30" spans="1:22" x14ac:dyDescent="0.2">
      <c r="A30" s="48" t="s">
        <v>279</v>
      </c>
      <c r="B30" s="49">
        <f t="shared" si="4"/>
        <v>2.7546296296296235E-2</v>
      </c>
      <c r="C30" s="96">
        <f t="shared" si="6"/>
        <v>0.44768518518518513</v>
      </c>
      <c r="D30" s="96">
        <v>6.8865740740740736E-3</v>
      </c>
      <c r="E30" s="96">
        <f t="shared" si="5"/>
        <v>0.45457175925925919</v>
      </c>
      <c r="F30" s="18" t="s">
        <v>1067</v>
      </c>
      <c r="G30" s="18" t="s">
        <v>266</v>
      </c>
      <c r="H30" s="18"/>
      <c r="I30" s="38" t="s">
        <v>254</v>
      </c>
      <c r="J30" s="18" t="s">
        <v>1060</v>
      </c>
      <c r="K30" s="91"/>
      <c r="L30" s="105">
        <f t="shared" si="2"/>
        <v>0.44768518518518513</v>
      </c>
      <c r="M30" s="105">
        <f t="shared" si="3"/>
        <v>0.45457175925925919</v>
      </c>
      <c r="N30" s="38" t="s">
        <v>255</v>
      </c>
      <c r="O30" s="38" t="s">
        <v>256</v>
      </c>
      <c r="P30" s="38" t="s">
        <v>256</v>
      </c>
      <c r="Q30" s="38" t="s">
        <v>256</v>
      </c>
      <c r="R30" s="38"/>
      <c r="T30" s="4"/>
      <c r="U30" s="4"/>
    </row>
    <row r="31" spans="1:22" x14ac:dyDescent="0.2">
      <c r="A31" s="48" t="s">
        <v>279</v>
      </c>
      <c r="B31" s="49">
        <f t="shared" si="4"/>
        <v>3.4432870370370294E-2</v>
      </c>
      <c r="C31" s="96">
        <f>E30</f>
        <v>0.45457175925925919</v>
      </c>
      <c r="D31" s="96">
        <v>6.9444444444444441E-3</v>
      </c>
      <c r="E31" s="96">
        <f t="shared" si="5"/>
        <v>0.46151620370370361</v>
      </c>
      <c r="F31" s="18" t="s">
        <v>1068</v>
      </c>
      <c r="G31" s="18" t="s">
        <v>266</v>
      </c>
      <c r="H31" s="18"/>
      <c r="I31" s="38" t="s">
        <v>254</v>
      </c>
      <c r="J31" s="18" t="s">
        <v>1060</v>
      </c>
      <c r="K31" s="90"/>
      <c r="L31" s="105">
        <f t="shared" si="2"/>
        <v>0.45457175925925919</v>
      </c>
      <c r="M31" s="105">
        <f t="shared" si="3"/>
        <v>0.46151620370370361</v>
      </c>
      <c r="N31" s="38" t="s">
        <v>255</v>
      </c>
      <c r="O31" s="38" t="s">
        <v>256</v>
      </c>
      <c r="P31" s="38"/>
      <c r="Q31" s="38" t="s">
        <v>256</v>
      </c>
      <c r="R31" s="38"/>
      <c r="T31" s="4"/>
      <c r="U31" s="4"/>
    </row>
    <row r="32" spans="1:22" x14ac:dyDescent="0.2">
      <c r="A32" s="48" t="s">
        <v>279</v>
      </c>
      <c r="B32" s="49">
        <f t="shared" si="4"/>
        <v>4.1377314814814714E-2</v>
      </c>
      <c r="C32" s="96">
        <f t="shared" si="6"/>
        <v>0.46151620370370361</v>
      </c>
      <c r="D32" s="96">
        <v>6.9444444444444441E-3</v>
      </c>
      <c r="E32" s="96">
        <f t="shared" si="5"/>
        <v>0.46846064814814803</v>
      </c>
      <c r="F32" s="18" t="s">
        <v>905</v>
      </c>
      <c r="G32" s="18" t="s">
        <v>266</v>
      </c>
      <c r="H32" s="18"/>
      <c r="I32" s="38" t="s">
        <v>254</v>
      </c>
      <c r="J32" s="18" t="s">
        <v>1060</v>
      </c>
      <c r="K32" s="90"/>
      <c r="L32" s="105">
        <f t="shared" si="2"/>
        <v>0.46151620370370361</v>
      </c>
      <c r="M32" s="105">
        <f t="shared" si="3"/>
        <v>0.46846064814814803</v>
      </c>
      <c r="N32" s="38" t="s">
        <v>255</v>
      </c>
      <c r="O32" s="38" t="s">
        <v>256</v>
      </c>
      <c r="P32" s="38"/>
      <c r="Q32" s="38" t="s">
        <v>256</v>
      </c>
      <c r="R32" s="38"/>
      <c r="T32" s="4"/>
      <c r="U32" s="4"/>
    </row>
    <row r="33" spans="1:22" x14ac:dyDescent="0.2">
      <c r="A33" s="48" t="s">
        <v>279</v>
      </c>
      <c r="B33" s="49">
        <f t="shared" si="4"/>
        <v>4.8321759259259134E-2</v>
      </c>
      <c r="C33" s="96">
        <f t="shared" si="6"/>
        <v>0.46846064814814803</v>
      </c>
      <c r="D33" s="96">
        <v>2.0833333333333333E-3</v>
      </c>
      <c r="E33" s="96">
        <f t="shared" si="5"/>
        <v>0.47054398148148135</v>
      </c>
      <c r="F33" s="18" t="s">
        <v>894</v>
      </c>
      <c r="G33" s="18" t="s">
        <v>266</v>
      </c>
      <c r="H33" s="18"/>
      <c r="I33" s="38" t="s">
        <v>254</v>
      </c>
      <c r="J33" s="18" t="s">
        <v>1060</v>
      </c>
      <c r="K33" s="90"/>
      <c r="L33" s="105">
        <f t="shared" si="2"/>
        <v>0.46846064814814803</v>
      </c>
      <c r="M33" s="105">
        <f t="shared" si="3"/>
        <v>0.47054398148148135</v>
      </c>
      <c r="N33" s="38" t="s">
        <v>255</v>
      </c>
      <c r="O33" s="38" t="s">
        <v>256</v>
      </c>
      <c r="P33" s="38"/>
      <c r="Q33" s="38" t="s">
        <v>256</v>
      </c>
      <c r="R33" s="38"/>
      <c r="T33" s="4"/>
      <c r="U33" s="4"/>
    </row>
    <row r="34" spans="1:22" x14ac:dyDescent="0.2">
      <c r="A34" s="48" t="s">
        <v>279</v>
      </c>
      <c r="B34" s="49">
        <f t="shared" si="4"/>
        <v>5.040509259259246E-2</v>
      </c>
      <c r="C34" s="96">
        <f t="shared" si="6"/>
        <v>0.47054398148148135</v>
      </c>
      <c r="D34" s="96">
        <v>1.3888888888888889E-3</v>
      </c>
      <c r="E34" s="96">
        <f t="shared" si="5"/>
        <v>0.47193287037037024</v>
      </c>
      <c r="F34" s="69" t="s">
        <v>59</v>
      </c>
      <c r="G34" s="18" t="s">
        <v>266</v>
      </c>
      <c r="H34" s="18"/>
      <c r="I34" s="38" t="s">
        <v>254</v>
      </c>
      <c r="J34" s="18" t="s">
        <v>1060</v>
      </c>
      <c r="K34" s="90"/>
      <c r="L34" s="105">
        <f t="shared" si="2"/>
        <v>0.47054398148148135</v>
      </c>
      <c r="M34" s="105">
        <f t="shared" si="3"/>
        <v>0.47193287037037024</v>
      </c>
      <c r="N34" s="38" t="s">
        <v>255</v>
      </c>
      <c r="O34" s="38" t="s">
        <v>256</v>
      </c>
      <c r="P34" s="38"/>
      <c r="Q34" s="38" t="s">
        <v>256</v>
      </c>
      <c r="R34" s="38"/>
      <c r="T34" s="4"/>
      <c r="U34" s="4"/>
    </row>
    <row r="35" spans="1:22" x14ac:dyDescent="0.2">
      <c r="A35" s="48" t="s">
        <v>279</v>
      </c>
      <c r="B35" s="49">
        <f t="shared" si="4"/>
        <v>5.1793981481481344E-2</v>
      </c>
      <c r="C35" s="96">
        <f t="shared" si="6"/>
        <v>0.47193287037037024</v>
      </c>
      <c r="D35" s="96">
        <f>SUM(D36:D40)</f>
        <v>2.8067129629629636E-2</v>
      </c>
      <c r="E35" s="96">
        <f t="shared" si="5"/>
        <v>0.49999999999999989</v>
      </c>
      <c r="F35" s="18" t="s">
        <v>1069</v>
      </c>
      <c r="G35" s="18" t="s">
        <v>266</v>
      </c>
      <c r="H35" s="18"/>
      <c r="I35" s="38" t="s">
        <v>254</v>
      </c>
      <c r="J35" s="18" t="s">
        <v>1060</v>
      </c>
      <c r="K35" s="91" t="s">
        <v>1070</v>
      </c>
      <c r="L35" s="105">
        <f t="shared" si="2"/>
        <v>0.47193287037037024</v>
      </c>
      <c r="M35" s="105">
        <f t="shared" si="3"/>
        <v>0.49999999999999989</v>
      </c>
      <c r="N35" s="38"/>
      <c r="O35" s="38" t="s">
        <v>256</v>
      </c>
      <c r="P35" s="38" t="s">
        <v>256</v>
      </c>
      <c r="Q35" s="38" t="s">
        <v>256</v>
      </c>
      <c r="R35" s="38"/>
      <c r="T35" s="4"/>
      <c r="U35" s="4"/>
    </row>
    <row r="36" spans="1:22" x14ac:dyDescent="0.2">
      <c r="A36" s="48" t="s">
        <v>279</v>
      </c>
      <c r="B36" s="49">
        <f t="shared" si="4"/>
        <v>5.1793981481481344E-2</v>
      </c>
      <c r="C36" s="96">
        <f>C35</f>
        <v>0.47193287037037024</v>
      </c>
      <c r="D36" s="96">
        <v>5.6134259259259271E-3</v>
      </c>
      <c r="E36" s="96">
        <f t="shared" si="5"/>
        <v>0.47754629629629619</v>
      </c>
      <c r="F36" s="18" t="s">
        <v>1071</v>
      </c>
      <c r="G36" s="18" t="s">
        <v>266</v>
      </c>
      <c r="H36" s="18"/>
      <c r="I36" s="38" t="s">
        <v>254</v>
      </c>
      <c r="J36" s="18" t="s">
        <v>1060</v>
      </c>
      <c r="K36" s="91"/>
      <c r="L36" s="105">
        <f t="shared" si="2"/>
        <v>0.47193287037037024</v>
      </c>
      <c r="M36" s="105">
        <f t="shared" si="3"/>
        <v>0.47754629629629619</v>
      </c>
      <c r="N36" s="38" t="s">
        <v>255</v>
      </c>
      <c r="O36" s="38" t="s">
        <v>256</v>
      </c>
      <c r="P36" s="38" t="s">
        <v>256</v>
      </c>
      <c r="Q36" s="38" t="s">
        <v>256</v>
      </c>
      <c r="R36" s="38"/>
      <c r="T36" s="4"/>
      <c r="U36" s="4"/>
    </row>
    <row r="37" spans="1:22" x14ac:dyDescent="0.2">
      <c r="A37" s="48" t="s">
        <v>279</v>
      </c>
      <c r="B37" s="49">
        <f t="shared" si="4"/>
        <v>5.7407407407407296E-2</v>
      </c>
      <c r="C37" s="96">
        <f t="shared" si="6"/>
        <v>0.47754629629629619</v>
      </c>
      <c r="D37" s="96">
        <v>5.6134259259259271E-3</v>
      </c>
      <c r="E37" s="96">
        <f t="shared" si="5"/>
        <v>0.48315972222222214</v>
      </c>
      <c r="F37" s="18" t="s">
        <v>1072</v>
      </c>
      <c r="G37" s="18" t="s">
        <v>266</v>
      </c>
      <c r="H37" s="18"/>
      <c r="I37" s="38" t="s">
        <v>254</v>
      </c>
      <c r="J37" s="18" t="s">
        <v>1060</v>
      </c>
      <c r="K37" s="91"/>
      <c r="L37" s="105">
        <f t="shared" si="2"/>
        <v>0.47754629629629619</v>
      </c>
      <c r="M37" s="105">
        <f t="shared" si="3"/>
        <v>0.48315972222222214</v>
      </c>
      <c r="N37" s="38" t="s">
        <v>255</v>
      </c>
      <c r="O37" s="38" t="s">
        <v>256</v>
      </c>
      <c r="P37" s="38" t="s">
        <v>256</v>
      </c>
      <c r="Q37" s="38" t="s">
        <v>256</v>
      </c>
      <c r="R37" s="38"/>
      <c r="T37" s="4"/>
      <c r="U37" s="4"/>
    </row>
    <row r="38" spans="1:22" x14ac:dyDescent="0.2">
      <c r="A38" s="48" t="s">
        <v>279</v>
      </c>
      <c r="B38" s="49">
        <f t="shared" si="4"/>
        <v>6.3020833333333248E-2</v>
      </c>
      <c r="C38" s="96">
        <f t="shared" si="6"/>
        <v>0.48315972222222214</v>
      </c>
      <c r="D38" s="96">
        <v>5.6134259259259271E-3</v>
      </c>
      <c r="E38" s="96">
        <f t="shared" si="5"/>
        <v>0.4887731481481481</v>
      </c>
      <c r="F38" s="18" t="s">
        <v>1073</v>
      </c>
      <c r="G38" s="18" t="s">
        <v>266</v>
      </c>
      <c r="H38" s="18"/>
      <c r="I38" s="38" t="s">
        <v>254</v>
      </c>
      <c r="J38" s="18" t="s">
        <v>1060</v>
      </c>
      <c r="K38" s="91"/>
      <c r="L38" s="105">
        <f t="shared" si="2"/>
        <v>0.48315972222222214</v>
      </c>
      <c r="M38" s="105">
        <f t="shared" si="3"/>
        <v>0.4887731481481481</v>
      </c>
      <c r="N38" s="38" t="s">
        <v>255</v>
      </c>
      <c r="O38" s="38" t="s">
        <v>256</v>
      </c>
      <c r="P38" s="38" t="s">
        <v>256</v>
      </c>
      <c r="Q38" s="38" t="s">
        <v>256</v>
      </c>
      <c r="R38" s="38"/>
      <c r="T38" s="4"/>
      <c r="U38" s="4"/>
    </row>
    <row r="39" spans="1:22" x14ac:dyDescent="0.2">
      <c r="A39" s="48" t="s">
        <v>279</v>
      </c>
      <c r="B39" s="49">
        <f t="shared" si="4"/>
        <v>6.86342592592592E-2</v>
      </c>
      <c r="C39" s="96">
        <f t="shared" si="6"/>
        <v>0.4887731481481481</v>
      </c>
      <c r="D39" s="96">
        <v>5.6134259259259271E-3</v>
      </c>
      <c r="E39" s="96">
        <f t="shared" si="5"/>
        <v>0.49438657407407405</v>
      </c>
      <c r="F39" s="18" t="s">
        <v>1074</v>
      </c>
      <c r="G39" s="18" t="s">
        <v>266</v>
      </c>
      <c r="H39" s="18"/>
      <c r="I39" s="38" t="s">
        <v>254</v>
      </c>
      <c r="J39" s="18" t="s">
        <v>1060</v>
      </c>
      <c r="K39" s="91"/>
      <c r="L39" s="105">
        <f t="shared" si="2"/>
        <v>0.4887731481481481</v>
      </c>
      <c r="M39" s="105">
        <f t="shared" si="3"/>
        <v>0.49438657407407405</v>
      </c>
      <c r="N39" s="38" t="s">
        <v>255</v>
      </c>
      <c r="O39" s="38" t="s">
        <v>256</v>
      </c>
      <c r="P39" s="38" t="s">
        <v>256</v>
      </c>
      <c r="Q39" s="38" t="s">
        <v>256</v>
      </c>
      <c r="R39" s="38"/>
      <c r="T39" s="4"/>
      <c r="U39" s="4"/>
    </row>
    <row r="40" spans="1:22" x14ac:dyDescent="0.2">
      <c r="A40" s="48" t="s">
        <v>279</v>
      </c>
      <c r="B40" s="49">
        <f t="shared" si="4"/>
        <v>7.4247685185185153E-2</v>
      </c>
      <c r="C40" s="96">
        <f t="shared" si="6"/>
        <v>0.49438657407407405</v>
      </c>
      <c r="D40" s="96">
        <v>5.6134259259259271E-3</v>
      </c>
      <c r="E40" s="96">
        <f>C40+D40</f>
        <v>0.5</v>
      </c>
      <c r="F40" s="18" t="s">
        <v>1075</v>
      </c>
      <c r="G40" s="18" t="s">
        <v>266</v>
      </c>
      <c r="H40" s="18"/>
      <c r="I40" s="38" t="s">
        <v>254</v>
      </c>
      <c r="J40" s="18" t="s">
        <v>1060</v>
      </c>
      <c r="K40" s="91"/>
      <c r="L40" s="105">
        <f t="shared" si="2"/>
        <v>0.49438657407407405</v>
      </c>
      <c r="M40" s="105">
        <f t="shared" si="3"/>
        <v>0.5</v>
      </c>
      <c r="N40" s="38" t="s">
        <v>255</v>
      </c>
      <c r="O40" s="38" t="s">
        <v>256</v>
      </c>
      <c r="P40" s="38" t="s">
        <v>256</v>
      </c>
      <c r="Q40" s="38" t="s">
        <v>256</v>
      </c>
      <c r="R40" s="38"/>
      <c r="T40" s="4"/>
      <c r="U40" s="4"/>
    </row>
    <row r="41" spans="1:22" x14ac:dyDescent="0.2">
      <c r="A41" s="48" t="s">
        <v>279</v>
      </c>
      <c r="B41" s="49">
        <f t="shared" si="4"/>
        <v>7.9861111111111105E-2</v>
      </c>
      <c r="C41" s="96">
        <f t="shared" si="6"/>
        <v>0.5</v>
      </c>
      <c r="D41" s="96">
        <v>3.472222222222222E-3</v>
      </c>
      <c r="E41" s="96">
        <f t="shared" ref="E41:E43" si="7">C41+D41</f>
        <v>0.50347222222222221</v>
      </c>
      <c r="F41" s="18" t="s">
        <v>931</v>
      </c>
      <c r="G41" s="18" t="s">
        <v>266</v>
      </c>
      <c r="H41" s="18"/>
      <c r="I41" s="38" t="s">
        <v>254</v>
      </c>
      <c r="J41" s="18" t="s">
        <v>1060</v>
      </c>
      <c r="K41" s="90"/>
      <c r="L41" s="105">
        <f t="shared" si="2"/>
        <v>0.5</v>
      </c>
      <c r="M41" s="105">
        <f t="shared" si="3"/>
        <v>0.50347222222222221</v>
      </c>
      <c r="N41" s="38" t="s">
        <v>255</v>
      </c>
      <c r="O41" s="38" t="s">
        <v>256</v>
      </c>
      <c r="P41" s="38"/>
      <c r="Q41" s="38" t="s">
        <v>256</v>
      </c>
      <c r="R41" s="38"/>
      <c r="T41" s="4"/>
      <c r="U41" s="4"/>
    </row>
    <row r="42" spans="1:22" x14ac:dyDescent="0.2">
      <c r="A42" s="48" t="s">
        <v>279</v>
      </c>
      <c r="B42" s="49">
        <f t="shared" si="4"/>
        <v>8.3333333333333315E-2</v>
      </c>
      <c r="C42" s="96">
        <f t="shared" si="6"/>
        <v>0.50347222222222221</v>
      </c>
      <c r="D42" s="96">
        <v>5.6712962962962958E-3</v>
      </c>
      <c r="E42" s="96">
        <f t="shared" si="7"/>
        <v>0.50914351851851847</v>
      </c>
      <c r="F42" s="18" t="s">
        <v>1076</v>
      </c>
      <c r="G42" s="18" t="s">
        <v>266</v>
      </c>
      <c r="H42" s="18"/>
      <c r="I42" s="38" t="s">
        <v>254</v>
      </c>
      <c r="J42" s="18" t="s">
        <v>1060</v>
      </c>
      <c r="K42" s="91" t="s">
        <v>1077</v>
      </c>
      <c r="L42" s="105">
        <f t="shared" si="2"/>
        <v>0.50347222222222221</v>
      </c>
      <c r="M42" s="105">
        <f t="shared" si="3"/>
        <v>0.50914351851851847</v>
      </c>
      <c r="N42" s="38"/>
      <c r="O42" s="38" t="s">
        <v>256</v>
      </c>
      <c r="P42" s="38" t="s">
        <v>256</v>
      </c>
      <c r="Q42" s="38" t="s">
        <v>256</v>
      </c>
      <c r="R42" s="38"/>
      <c r="T42" s="4"/>
      <c r="U42" s="4"/>
    </row>
    <row r="43" spans="1:22" x14ac:dyDescent="0.2">
      <c r="A43" s="48" t="s">
        <v>279</v>
      </c>
      <c r="B43" s="49">
        <f t="shared" si="4"/>
        <v>8.9004629629629572E-2</v>
      </c>
      <c r="C43" s="96">
        <f t="shared" si="6"/>
        <v>0.50914351851851847</v>
      </c>
      <c r="D43" s="96">
        <v>5.6712962962962958E-3</v>
      </c>
      <c r="E43" s="96">
        <f t="shared" si="7"/>
        <v>0.51481481481481473</v>
      </c>
      <c r="F43" s="18" t="s">
        <v>1078</v>
      </c>
      <c r="G43" s="18" t="s">
        <v>266</v>
      </c>
      <c r="H43" s="18"/>
      <c r="I43" s="38" t="s">
        <v>254</v>
      </c>
      <c r="J43" s="18" t="s">
        <v>1060</v>
      </c>
      <c r="K43" s="91" t="s">
        <v>1079</v>
      </c>
      <c r="L43" s="105">
        <f t="shared" si="2"/>
        <v>0.50914351851851847</v>
      </c>
      <c r="M43" s="105">
        <f t="shared" si="3"/>
        <v>0.51481481481481473</v>
      </c>
      <c r="N43" s="38"/>
      <c r="O43" s="38" t="s">
        <v>256</v>
      </c>
      <c r="P43" s="38" t="s">
        <v>256</v>
      </c>
      <c r="Q43" s="38" t="s">
        <v>256</v>
      </c>
      <c r="R43" s="38"/>
      <c r="T43" s="4"/>
      <c r="U43" s="4"/>
    </row>
    <row r="44" spans="1:22" s="1" customFormat="1" x14ac:dyDescent="0.2">
      <c r="A44" s="80" t="s">
        <v>279</v>
      </c>
      <c r="B44" s="78">
        <f t="shared" si="4"/>
        <v>0.10069444444444448</v>
      </c>
      <c r="C44" s="79">
        <v>0.52083333333333337</v>
      </c>
      <c r="D44" s="81"/>
      <c r="E44" s="81"/>
      <c r="F44" s="33" t="s">
        <v>62</v>
      </c>
      <c r="G44" s="81"/>
      <c r="H44" s="81"/>
      <c r="I44" s="80" t="s">
        <v>254</v>
      </c>
      <c r="J44" s="81" t="s">
        <v>1060</v>
      </c>
      <c r="K44" s="81"/>
      <c r="L44" s="109">
        <f t="shared" si="2"/>
        <v>0.52083333333333337</v>
      </c>
      <c r="M44" s="109"/>
      <c r="N44" s="80"/>
      <c r="O44" s="80" t="s">
        <v>256</v>
      </c>
      <c r="P44" s="80" t="s">
        <v>256</v>
      </c>
      <c r="Q44" s="80" t="s">
        <v>256</v>
      </c>
      <c r="R44" s="80" t="s">
        <v>256</v>
      </c>
      <c r="T44" s="73"/>
      <c r="U44" s="73"/>
      <c r="V44" s="74"/>
    </row>
    <row r="45" spans="1:22" x14ac:dyDescent="0.2">
      <c r="A45" s="48" t="s">
        <v>279</v>
      </c>
      <c r="B45" s="49">
        <f>C45-$C$24</f>
        <v>0.10416666666666669</v>
      </c>
      <c r="C45" s="49">
        <v>0.52430555555555558</v>
      </c>
      <c r="D45" s="35"/>
      <c r="E45" s="35"/>
      <c r="F45" s="47" t="s">
        <v>412</v>
      </c>
      <c r="G45" s="18"/>
      <c r="H45" s="18"/>
      <c r="I45" s="38" t="s">
        <v>254</v>
      </c>
      <c r="J45" s="37"/>
      <c r="K45" s="37"/>
      <c r="L45" s="37"/>
      <c r="M45" s="37"/>
      <c r="N45" s="38" t="s">
        <v>255</v>
      </c>
      <c r="O45" s="38"/>
      <c r="P45" s="38"/>
      <c r="Q45" s="38"/>
      <c r="R45" s="38"/>
      <c r="T45" s="4"/>
      <c r="U45" s="4"/>
    </row>
    <row r="46" spans="1:22" x14ac:dyDescent="0.2">
      <c r="A46" s="48" t="s">
        <v>279</v>
      </c>
      <c r="B46" s="49">
        <f t="shared" si="4"/>
        <v>0.10486111111111113</v>
      </c>
      <c r="C46" s="49">
        <v>0.52500000000000002</v>
      </c>
      <c r="D46" s="35"/>
      <c r="E46" s="35"/>
      <c r="F46" s="47" t="s">
        <v>65</v>
      </c>
      <c r="G46" s="18"/>
      <c r="H46" s="18"/>
      <c r="I46" s="38" t="s">
        <v>254</v>
      </c>
      <c r="J46" s="37"/>
      <c r="K46" s="37"/>
      <c r="L46" s="37"/>
      <c r="M46" s="37"/>
      <c r="N46" s="38" t="s">
        <v>255</v>
      </c>
      <c r="O46" s="38"/>
      <c r="P46" s="38"/>
      <c r="Q46" s="38"/>
      <c r="R46" s="38" t="s">
        <v>256</v>
      </c>
      <c r="T46" s="4"/>
      <c r="U46" s="4"/>
    </row>
    <row r="47" spans="1:22" x14ac:dyDescent="0.2">
      <c r="A47" s="48" t="s">
        <v>279</v>
      </c>
      <c r="B47" s="49">
        <f t="shared" si="4"/>
        <v>0.10486111111111113</v>
      </c>
      <c r="C47" s="49">
        <v>0.52500000000000002</v>
      </c>
      <c r="D47" s="35"/>
      <c r="E47" s="35"/>
      <c r="F47" s="18" t="s">
        <v>362</v>
      </c>
      <c r="G47" s="18"/>
      <c r="H47" s="18"/>
      <c r="I47" s="38" t="s">
        <v>254</v>
      </c>
      <c r="J47" s="37"/>
      <c r="K47" s="37"/>
      <c r="L47" s="37"/>
      <c r="M47" s="37"/>
      <c r="N47" s="38" t="s">
        <v>255</v>
      </c>
      <c r="O47" s="38"/>
      <c r="P47" s="38"/>
      <c r="Q47" s="38"/>
      <c r="R47" s="38"/>
      <c r="T47" s="4"/>
      <c r="U47" s="4"/>
    </row>
    <row r="48" spans="1:22" x14ac:dyDescent="0.2">
      <c r="A48" s="48" t="s">
        <v>279</v>
      </c>
      <c r="B48" s="49">
        <f>C48-$C$24</f>
        <v>0.1111111111111111</v>
      </c>
      <c r="C48" s="49">
        <v>0.53125</v>
      </c>
      <c r="D48" s="35"/>
      <c r="E48" s="35"/>
      <c r="F48" s="47" t="s">
        <v>361</v>
      </c>
      <c r="G48" s="18"/>
      <c r="H48" s="18"/>
      <c r="I48" s="38" t="s">
        <v>254</v>
      </c>
      <c r="J48" s="37"/>
      <c r="K48" s="37"/>
      <c r="L48" s="37"/>
      <c r="M48" s="37"/>
      <c r="N48" s="38" t="s">
        <v>255</v>
      </c>
      <c r="O48" s="38"/>
      <c r="P48" s="38"/>
      <c r="Q48" s="38"/>
      <c r="R48" s="38"/>
      <c r="T48" s="4"/>
      <c r="U48" s="4"/>
    </row>
    <row r="49" spans="1:21" x14ac:dyDescent="0.2">
      <c r="A49" s="48" t="s">
        <v>279</v>
      </c>
      <c r="B49" s="49">
        <f t="shared" si="4"/>
        <v>0.12152777777777773</v>
      </c>
      <c r="C49" s="49">
        <v>0.54166666666666663</v>
      </c>
      <c r="D49" s="35"/>
      <c r="E49" s="35"/>
      <c r="F49" s="20" t="s">
        <v>67</v>
      </c>
      <c r="G49" s="18"/>
      <c r="H49" s="18"/>
      <c r="I49" s="38" t="s">
        <v>254</v>
      </c>
      <c r="J49" s="37"/>
      <c r="K49" s="37"/>
      <c r="L49" s="37"/>
      <c r="M49" s="37"/>
      <c r="N49" s="38" t="s">
        <v>255</v>
      </c>
      <c r="O49" s="38"/>
      <c r="P49" s="38"/>
      <c r="Q49" s="38"/>
      <c r="R49" s="38" t="s">
        <v>256</v>
      </c>
      <c r="T49" s="4"/>
      <c r="U49" s="4"/>
    </row>
    <row r="50" spans="1:21" x14ac:dyDescent="0.2">
      <c r="A50" s="48" t="s">
        <v>279</v>
      </c>
      <c r="B50" s="49">
        <f t="shared" si="4"/>
        <v>0.12152777777777773</v>
      </c>
      <c r="C50" s="95">
        <v>0.54166666666666663</v>
      </c>
      <c r="D50" s="35"/>
      <c r="E50" s="35"/>
      <c r="F50" s="47" t="s">
        <v>413</v>
      </c>
      <c r="G50" s="18"/>
      <c r="H50" s="18"/>
      <c r="I50" s="38" t="s">
        <v>254</v>
      </c>
      <c r="J50" s="37"/>
      <c r="K50" s="37"/>
      <c r="L50" s="37"/>
      <c r="M50" s="37"/>
      <c r="N50" s="38" t="s">
        <v>255</v>
      </c>
      <c r="O50" s="38"/>
      <c r="P50" s="38"/>
      <c r="Q50" s="38"/>
      <c r="R50" s="38"/>
      <c r="T50" s="4"/>
      <c r="U50" s="4"/>
    </row>
    <row r="51" spans="1:21" x14ac:dyDescent="0.2">
      <c r="A51" s="48" t="s">
        <v>279</v>
      </c>
      <c r="B51" s="49">
        <f t="shared" si="4"/>
        <v>0.1423611111111111</v>
      </c>
      <c r="C51" s="97">
        <v>0.5625</v>
      </c>
      <c r="D51" s="35"/>
      <c r="E51" s="35"/>
      <c r="F51" s="18" t="s">
        <v>414</v>
      </c>
      <c r="G51" s="18"/>
      <c r="H51" s="18"/>
      <c r="I51" s="38" t="s">
        <v>254</v>
      </c>
      <c r="J51" s="37"/>
      <c r="K51" s="37"/>
      <c r="L51" s="37"/>
      <c r="M51" s="37"/>
      <c r="N51" s="38" t="s">
        <v>255</v>
      </c>
      <c r="O51" s="38"/>
      <c r="P51" s="38"/>
      <c r="Q51" s="38"/>
      <c r="R51" s="38" t="s">
        <v>256</v>
      </c>
      <c r="T51" s="4"/>
      <c r="U51" s="4"/>
    </row>
    <row r="52" spans="1:21" x14ac:dyDescent="0.2">
      <c r="A52" s="48" t="s">
        <v>279</v>
      </c>
      <c r="B52" s="49"/>
      <c r="C52" s="97"/>
      <c r="D52" s="35"/>
      <c r="E52" s="35"/>
      <c r="F52" s="18" t="s">
        <v>415</v>
      </c>
      <c r="G52" s="18"/>
      <c r="H52" s="18"/>
      <c r="I52" s="38" t="s">
        <v>254</v>
      </c>
      <c r="J52" s="37"/>
      <c r="K52" s="37"/>
      <c r="L52" s="37"/>
      <c r="M52" s="37"/>
      <c r="N52" s="38" t="s">
        <v>255</v>
      </c>
      <c r="O52" s="38"/>
      <c r="P52" s="38"/>
      <c r="Q52" s="38"/>
      <c r="R52" s="38" t="s">
        <v>256</v>
      </c>
      <c r="T52" s="4"/>
      <c r="U52" s="4"/>
    </row>
    <row r="53" spans="1:21" x14ac:dyDescent="0.2">
      <c r="T53" s="4"/>
      <c r="U53" s="4"/>
    </row>
    <row r="54" spans="1:21" x14ac:dyDescent="0.2">
      <c r="T54" s="4"/>
      <c r="U54" s="4"/>
    </row>
    <row r="55" spans="1:21" x14ac:dyDescent="0.2">
      <c r="T55" s="4"/>
      <c r="U55" s="4"/>
    </row>
    <row r="56" spans="1:21" x14ac:dyDescent="0.2">
      <c r="T56" s="4"/>
      <c r="U56" s="4"/>
    </row>
    <row r="57" spans="1:21" x14ac:dyDescent="0.2">
      <c r="T57" s="4"/>
      <c r="U57" s="4"/>
    </row>
    <row r="58" spans="1:21" x14ac:dyDescent="0.2">
      <c r="T58" s="4"/>
      <c r="U58" s="4"/>
    </row>
    <row r="59" spans="1:21" x14ac:dyDescent="0.2">
      <c r="T59" s="4"/>
      <c r="U59" s="4"/>
    </row>
    <row r="60" spans="1:21" x14ac:dyDescent="0.2">
      <c r="T60" s="4"/>
      <c r="U60" s="4"/>
    </row>
    <row r="61" spans="1:21" x14ac:dyDescent="0.2">
      <c r="T61" s="4"/>
      <c r="U61" s="4"/>
    </row>
    <row r="62" spans="1:21" x14ac:dyDescent="0.2">
      <c r="T62" s="4"/>
      <c r="U62" s="4"/>
    </row>
    <row r="63" spans="1:21" x14ac:dyDescent="0.2">
      <c r="T63" s="4"/>
      <c r="U63" s="4"/>
    </row>
    <row r="64" spans="1:21" x14ac:dyDescent="0.2">
      <c r="T64" s="4"/>
      <c r="U64" s="4"/>
    </row>
    <row r="65" spans="20:21" x14ac:dyDescent="0.2">
      <c r="T65" s="4"/>
      <c r="U65" s="4"/>
    </row>
    <row r="66" spans="20:21" x14ac:dyDescent="0.2">
      <c r="T66" s="4"/>
      <c r="U66" s="4"/>
    </row>
    <row r="67" spans="20:21" x14ac:dyDescent="0.2">
      <c r="T67" s="4"/>
      <c r="U67" s="4"/>
    </row>
    <row r="68" spans="20:21" x14ac:dyDescent="0.2">
      <c r="T68" s="4"/>
      <c r="U68" s="4"/>
    </row>
    <row r="69" spans="20:21" x14ac:dyDescent="0.2">
      <c r="T69" s="4"/>
      <c r="U69" s="4"/>
    </row>
    <row r="70" spans="20:21" x14ac:dyDescent="0.2">
      <c r="T70" s="4"/>
      <c r="U70" s="4"/>
    </row>
    <row r="71" spans="20:21" x14ac:dyDescent="0.2">
      <c r="T71" s="4"/>
      <c r="U71" s="4"/>
    </row>
    <row r="72" spans="20:21" x14ac:dyDescent="0.2">
      <c r="T72" s="4"/>
      <c r="U72" s="4"/>
    </row>
    <row r="73" spans="20:21" x14ac:dyDescent="0.2">
      <c r="T73" s="4"/>
      <c r="U73" s="4"/>
    </row>
    <row r="74" spans="20:21" x14ac:dyDescent="0.2">
      <c r="T74" s="4"/>
      <c r="U74" s="4"/>
    </row>
    <row r="75" spans="20:21" x14ac:dyDescent="0.2">
      <c r="T75" s="4"/>
      <c r="U75" s="4"/>
    </row>
    <row r="76" spans="20:21" x14ac:dyDescent="0.2">
      <c r="T76" s="4"/>
      <c r="U76" s="4"/>
    </row>
    <row r="77" spans="20:21" x14ac:dyDescent="0.2">
      <c r="T77" s="4"/>
      <c r="U77" s="4"/>
    </row>
    <row r="78" spans="20:21" x14ac:dyDescent="0.2">
      <c r="T78" s="4"/>
      <c r="U78" s="4"/>
    </row>
    <row r="79" spans="20:21" x14ac:dyDescent="0.2">
      <c r="T79" s="4"/>
      <c r="U79" s="4"/>
    </row>
    <row r="80" spans="20:21" x14ac:dyDescent="0.2">
      <c r="T80" s="4"/>
      <c r="U80" s="4"/>
    </row>
    <row r="81" spans="20:21" x14ac:dyDescent="0.2">
      <c r="T81" s="4"/>
      <c r="U81" s="4"/>
    </row>
    <row r="82" spans="20:21" x14ac:dyDescent="0.2">
      <c r="T82" s="4"/>
      <c r="U82" s="4"/>
    </row>
    <row r="83" spans="20:21" x14ac:dyDescent="0.2">
      <c r="T83" s="4"/>
      <c r="U83" s="4"/>
    </row>
  </sheetData>
  <sheetProtection algorithmName="SHA-512" hashValue="hGhQW7PMgZf+EwSQxhvXRYkNGUUm7OTK2QqPhYFR8V4oVODWMa+ACVAysHbshnUaWxBiueHpZLeUiTzyziAEjQ==" saltValue="SJFbbdA+wU2AWSwVbOwIRw==" spinCount="100000" sheet="1" objects="1" scenarios="1"/>
  <mergeCells count="9">
    <mergeCell ref="K2:N2"/>
    <mergeCell ref="O2:R2"/>
    <mergeCell ref="B1:R1"/>
    <mergeCell ref="A2:E2"/>
    <mergeCell ref="F2:F3"/>
    <mergeCell ref="G2:G3"/>
    <mergeCell ref="H2:H3"/>
    <mergeCell ref="I2:I3"/>
    <mergeCell ref="J2:J3"/>
  </mergeCells>
  <phoneticPr fontId="2" type="noConversion"/>
  <dataValidations count="1">
    <dataValidation type="list" allowBlank="1" showInputMessage="1" showErrorMessage="1" sqref="T3" xr:uid="{10F60C6C-0646-4B75-B052-AFBF07DC9BA3}">
      <formula1>"SCM,BRD,CER"</formula1>
    </dataValidation>
  </dataValidations>
  <pageMargins left="0.7" right="0.7" top="0.75" bottom="0.75" header="0.3" footer="0.3"/>
  <pageSetup paperSize="8" scale="63" fitToHeight="0" orientation="landscape" r:id="rId1"/>
  <headerFooter>
    <oddHeader>&amp;C&amp;"Calibri"&amp;10&amp;K000000 Official&amp;1#_x000D_</oddHeader>
    <oddFooter>&amp;C_x000D_&amp;1#&amp;"Calibri"&amp;10&amp;K000000 Official</oddFooter>
  </headerFooter>
  <ignoredErrors>
    <ignoredError sqref="D25 D35" formulaRange="1"/>
    <ignoredError sqref="C36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2022 Document" ma:contentTypeID="0x010100423625F0F32AF24DA105B0D286570650007B5757405D6EAE49A7F315FBBC14D97B" ma:contentTypeVersion="15" ma:contentTypeDescription="A Birmingham 2022 document. This content type specifies the B2022 meta data fields, like GDPR, Security Classification, Venues, etc." ma:contentTypeScope="" ma:versionID="0a3686530fc138c873ff4526d7ab7bdc">
  <xsd:schema xmlns:xsd="http://www.w3.org/2001/XMLSchema" xmlns:xs="http://www.w3.org/2001/XMLSchema" xmlns:p="http://schemas.microsoft.com/office/2006/metadata/properties" xmlns:ns2="e2bf5f4d-0346-406a-9841-bb2a78e907fc" xmlns:ns3="7fe63837-d8bc-431b-8948-575db9b92c90" xmlns:ns4="ad81acf5-d69f-4da9-a3d5-d3296bf454ec" targetNamespace="http://schemas.microsoft.com/office/2006/metadata/properties" ma:root="true" ma:fieldsID="243f9a1b6bd080149961b3ebe283e5fa" ns2:_="" ns3:_="" ns4:_="">
    <xsd:import namespace="e2bf5f4d-0346-406a-9841-bb2a78e907fc"/>
    <xsd:import namespace="7fe63837-d8bc-431b-8948-575db9b92c90"/>
    <xsd:import namespace="ad81acf5-d69f-4da9-a3d5-d3296bf454ec"/>
    <xsd:element name="properties">
      <xsd:complexType>
        <xsd:sequence>
          <xsd:element name="documentManagement">
            <xsd:complexType>
              <xsd:all>
                <xsd:element ref="ns2:SecurityClassification" minOccurs="0"/>
                <xsd:element ref="ns2:GDPRContainsPersonalData" minOccurs="0"/>
                <xsd:element ref="ns2:m6af685c620a42eba115391a402f1f08" minOccurs="0"/>
                <xsd:element ref="ns2:TaxCatchAll" minOccurs="0"/>
                <xsd:element ref="ns2:TaxCatchAllLabel" minOccurs="0"/>
                <xsd:element ref="ns2:hdb84c6e60a24fb68bbbb366ea5c5259" minOccurs="0"/>
                <xsd:element ref="ns2:nf7be51bb51c4d378bcd80b4ee3a0fa9" minOccurs="0"/>
                <xsd:element ref="ns2:hd0db2db95464e15b16e97bf822aafb5" minOccurs="0"/>
                <xsd:element ref="ns2:lb005cc863874024bca8f9866ad5ee22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2:TOK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bf5f4d-0346-406a-9841-bb2a78e907fc" elementFormDefault="qualified">
    <xsd:import namespace="http://schemas.microsoft.com/office/2006/documentManagement/types"/>
    <xsd:import namespace="http://schemas.microsoft.com/office/infopath/2007/PartnerControls"/>
    <xsd:element name="SecurityClassification" ma:index="8" nillable="true" ma:displayName="Security Classification" ma:default="Official" ma:description="Choose a security classification for this item." ma:internalName="SecurityClassification">
      <xsd:simpleType>
        <xsd:restriction base="dms:Choice">
          <xsd:enumeration value="Official"/>
          <xsd:enumeration value="Official Sensitive"/>
        </xsd:restriction>
      </xsd:simpleType>
    </xsd:element>
    <xsd:element name="GDPRContainsPersonalData" ma:index="9" nillable="true" ma:displayName="Contains Personal Data" ma:default="0" ma:description="Check this box if the document or item contains personally identifiable data. This is a GDPR requirement." ma:internalName="GDPRContainsPersonalData">
      <xsd:simpleType>
        <xsd:restriction base="dms:Boolean"/>
      </xsd:simpleType>
    </xsd:element>
    <xsd:element name="m6af685c620a42eba115391a402f1f08" ma:index="10" nillable="true" ma:taxonomy="true" ma:internalName="m6af685c620a42eba115391a402f1f08" ma:taxonomyFieldName="TaxonomyVenue" ma:displayName="Venue" ma:fieldId="{66af685c-620a-42eb-a115-391a402f1f08}" ma:taxonomyMulti="true" ma:sspId="2512c63e-7480-4a73-b69c-1295321e4c57" ma:termSetId="58a9dd63-8c7d-4e90-a54c-89db3c11120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e9e5f343-a66f-4bc7-be21-9732f1c428c5}" ma:internalName="TaxCatchAll" ma:showField="CatchAllData" ma:web="e2bf5f4d-0346-406a-9841-bb2a78e907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e9e5f343-a66f-4bc7-be21-9732f1c428c5}" ma:internalName="TaxCatchAllLabel" ma:readOnly="true" ma:showField="CatchAllDataLabel" ma:web="e2bf5f4d-0346-406a-9841-bb2a78e907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db84c6e60a24fb68bbbb366ea5c5259" ma:index="14" nillable="true" ma:taxonomy="true" ma:internalName="hdb84c6e60a24fb68bbbb366ea5c5259" ma:taxonomyFieldName="TaxonomyCountry" ma:displayName="Country" ma:fieldId="{1db84c6e-60a2-4fb6-8bbb-b366ea5c5259}" ma:taxonomyMulti="true" ma:sspId="2512c63e-7480-4a73-b69c-1295321e4c57" ma:termSetId="357c4b79-6601-40f9-bb0b-30e3ca27dde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f7be51bb51c4d378bcd80b4ee3a0fa9" ma:index="16" nillable="true" ma:taxonomy="true" ma:internalName="nf7be51bb51c4d378bcd80b4ee3a0fa9" ma:taxonomyFieldName="TaxonomySport" ma:displayName="Sport" ma:fieldId="{7f7be51b-b51c-4d37-8bcd-80b4ee3a0fa9}" ma:taxonomyMulti="true" ma:sspId="2512c63e-7480-4a73-b69c-1295321e4c57" ma:termSetId="3e5789a8-bae3-40d1-b741-60a2232035e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d0db2db95464e15b16e97bf822aafb5" ma:index="18" nillable="true" ma:taxonomy="true" ma:internalName="hd0db2db95464e15b16e97bf822aafb5" ma:taxonomyFieldName="TaxonomyOrganisation" ma:displayName="Organisation Unit" ma:fieldId="{1d0db2db-9546-4e15-b16e-97bf822aafb5}" ma:taxonomyMulti="true" ma:sspId="2512c63e-7480-4a73-b69c-1295321e4c57" ma:termSetId="61615506-e8ef-42fb-bb4c-4d833a946a1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b005cc863874024bca8f9866ad5ee22" ma:index="20" nillable="true" ma:taxonomy="true" ma:internalName="lb005cc863874024bca8f9866ad5ee22" ma:taxonomyFieldName="TaxonomyClientGroup" ma:displayName="Client Group" ma:fieldId="{5b005cc8-6387-4024-bca8-f9866ad5ee22}" ma:taxonomyMulti="true" ma:sspId="2512c63e-7480-4a73-b69c-1295321e4c57" ma:termSetId="0e070017-cea4-4397-a765-dc51d881243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OK" ma:index="33" nillable="true" ma:displayName="TOK" ma:internalName="TOK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e63837-d8bc-431b-8948-575db9b92c90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22" nillable="true" ma:displayName="Tags" ma:internalName="MediaServiceAutoTags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9" nillable="true" ma:displayName="Location" ma:internalName="MediaServiceLocation" ma:readOnly="true">
      <xsd:simpleType>
        <xsd:restriction base="dms:Text"/>
      </xsd:simpleType>
    </xsd:element>
    <xsd:element name="MediaLengthInSeconds" ma:index="3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5" nillable="true" ma:taxonomy="true" ma:internalName="lcf76f155ced4ddcb4097134ff3c332f" ma:taxonomyFieldName="MediaServiceImageTags" ma:displayName="Image Tags" ma:readOnly="false" ma:fieldId="{5cf76f15-5ced-4ddc-b409-7134ff3c332f}" ma:taxonomyMulti="true" ma:sspId="2512c63e-7480-4a73-b69c-1295321e4c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81acf5-d69f-4da9-a3d5-d3296bf454ec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2bf5f4d-0346-406a-9841-bb2a78e907fc">
      <Value>3</Value>
    </TaxCatchAll>
    <hdb84c6e60a24fb68bbbb366ea5c5259 xmlns="e2bf5f4d-0346-406a-9841-bb2a78e907fc">
      <Terms xmlns="http://schemas.microsoft.com/office/infopath/2007/PartnerControls"/>
    </hdb84c6e60a24fb68bbbb366ea5c5259>
    <hd0db2db95464e15b16e97bf822aafb5 xmlns="e2bf5f4d-0346-406a-9841-bb2a78e907fc">
      <Terms xmlns="http://schemas.microsoft.com/office/infopath/2007/PartnerControls">
        <TermInfo xmlns="http://schemas.microsoft.com/office/infopath/2007/PartnerControls">
          <TermName xmlns="http://schemas.microsoft.com/office/infopath/2007/PartnerControls">SCM</TermName>
          <TermId xmlns="http://schemas.microsoft.com/office/infopath/2007/PartnerControls">436aadfb-80b3-46b6-b8c7-1555039c627b</TermId>
        </TermInfo>
      </Terms>
    </hd0db2db95464e15b16e97bf822aafb5>
    <nf7be51bb51c4d378bcd80b4ee3a0fa9 xmlns="e2bf5f4d-0346-406a-9841-bb2a78e907fc">
      <Terms xmlns="http://schemas.microsoft.com/office/infopath/2007/PartnerControls"/>
    </nf7be51bb51c4d378bcd80b4ee3a0fa9>
    <TOK xmlns="e2bf5f4d-0346-406a-9841-bb2a78e907fc" xsi:nil="true"/>
    <SecurityClassification xmlns="e2bf5f4d-0346-406a-9841-bb2a78e907fc">Official</SecurityClassification>
    <GDPRContainsPersonalData xmlns="e2bf5f4d-0346-406a-9841-bb2a78e907fc">false</GDPRContainsPersonalData>
    <m6af685c620a42eba115391a402f1f08 xmlns="e2bf5f4d-0346-406a-9841-bb2a78e907fc">
      <Terms xmlns="http://schemas.microsoft.com/office/infopath/2007/PartnerControls"/>
    </m6af685c620a42eba115391a402f1f08>
    <lb005cc863874024bca8f9866ad5ee22 xmlns="e2bf5f4d-0346-406a-9841-bb2a78e907fc">
      <Terms xmlns="http://schemas.microsoft.com/office/infopath/2007/PartnerControls"/>
    </lb005cc863874024bca8f9866ad5ee22>
    <lcf76f155ced4ddcb4097134ff3c332f xmlns="7fe63837-d8bc-431b-8948-575db9b92c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37DC8F-7611-45E7-9BC1-90D36E6DCA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B3DECE-BBD2-4DB1-A766-24277645BF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bf5f4d-0346-406a-9841-bb2a78e907fc"/>
    <ds:schemaRef ds:uri="7fe63837-d8bc-431b-8948-575db9b92c90"/>
    <ds:schemaRef ds:uri="ad81acf5-d69f-4da9-a3d5-d3296bf45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75674F-5316-48E8-8795-E858A5570141}">
  <ds:schemaRefs>
    <ds:schemaRef ds:uri="http://schemas.microsoft.com/office/2006/metadata/properties"/>
    <ds:schemaRef ds:uri="http://schemas.microsoft.com/office/infopath/2007/PartnerControls"/>
    <ds:schemaRef ds:uri="e2bf5f4d-0346-406a-9841-bb2a78e907fc"/>
    <ds:schemaRef ds:uri="7fe63837-d8bc-431b-8948-575db9b92c9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12</vt:i4>
      </vt:variant>
    </vt:vector>
  </HeadingPairs>
  <TitlesOfParts>
    <vt:vector size="27" baseType="lpstr">
      <vt:lpstr>Instructions</vt:lpstr>
      <vt:lpstr>Core Activities to Include</vt:lpstr>
      <vt:lpstr>SEQ CGA Codes</vt:lpstr>
      <vt:lpstr>Overview Timings</vt:lpstr>
      <vt:lpstr>29.07.22</vt:lpstr>
      <vt:lpstr>30.07.22</vt:lpstr>
      <vt:lpstr>31.07.22</vt:lpstr>
      <vt:lpstr>01.08.22</vt:lpstr>
      <vt:lpstr>02.08.22</vt:lpstr>
      <vt:lpstr>03.08.22</vt:lpstr>
      <vt:lpstr>04.08.22</vt:lpstr>
      <vt:lpstr>05.08.22</vt:lpstr>
      <vt:lpstr>06.08.22</vt:lpstr>
      <vt:lpstr>07.08.22</vt:lpstr>
      <vt:lpstr>08.08.22</vt:lpstr>
      <vt:lpstr>'01.08.22'!BRD</vt:lpstr>
      <vt:lpstr>'02.08.22'!BRD</vt:lpstr>
      <vt:lpstr>'03.08.22'!BRD</vt:lpstr>
      <vt:lpstr>'30.07.22'!BRD</vt:lpstr>
      <vt:lpstr>'31.07.22'!BRD</vt:lpstr>
      <vt:lpstr>BRD</vt:lpstr>
      <vt:lpstr>'01.08.22'!SCM</vt:lpstr>
      <vt:lpstr>'02.08.22'!SCM</vt:lpstr>
      <vt:lpstr>'03.08.22'!SCM</vt:lpstr>
      <vt:lpstr>'30.07.22'!SCM</vt:lpstr>
      <vt:lpstr>'31.07.22'!SCM</vt:lpstr>
      <vt:lpstr>SCM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Reinis Birznieks</dc:creator>
  <cp:keywords/>
  <dc:description/>
  <cp:lastModifiedBy>Judy Wardlaw</cp:lastModifiedBy>
  <cp:revision/>
  <cp:lastPrinted>2022-07-29T05:33:36Z</cp:lastPrinted>
  <dcterms:created xsi:type="dcterms:W3CDTF">2022-02-08T09:30:08Z</dcterms:created>
  <dcterms:modified xsi:type="dcterms:W3CDTF">2022-08-08T06:14:25Z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0x010100423625F0F32AF24DA105B0D286570650007B5757405D6EAE49A7F315FBBC14D97B</vt:lpwstr>
  </property>
  <property fmtid="{D5CDD505-2E9C-101B-9397-08002B2CF9AE}" pid="3" name="TaxonomyVenue">
    <vt:lpwstr/>
  </property>
  <property fmtid="{D5CDD505-2E9C-101B-9397-08002B2CF9AE}" pid="4" name="TaxonomyCountry">
    <vt:lpwstr/>
  </property>
  <property fmtid="{D5CDD505-2E9C-101B-9397-08002B2CF9AE}" pid="5" name="TaxonomySport">
    <vt:lpwstr/>
  </property>
  <property fmtid="{D5CDD505-2E9C-101B-9397-08002B2CF9AE}" pid="6" name="TaxonomyClientGroup">
    <vt:lpwstr/>
  </property>
  <property fmtid="{D5CDD505-2E9C-101B-9397-08002B2CF9AE}" pid="7" name="TaxonomyOrganisation">
    <vt:lpwstr>3;#SCM|436aadfb-80b3-46b6-b8c7-1555039c627b</vt:lpwstr>
  </property>
  <property fmtid="{D5CDD505-2E9C-101B-9397-08002B2CF9AE}" pid="8" name="MSIP_Label_3418fa32-ea8f-47ff-8057-a4c6f24e55b0_Enabled">
    <vt:lpwstr>true</vt:lpwstr>
  </property>
  <property fmtid="{D5CDD505-2E9C-101B-9397-08002B2CF9AE}" pid="9" name="MSIP_Label_3418fa32-ea8f-47ff-8057-a4c6f24e55b0_SetDate">
    <vt:lpwstr>2022-05-26T07:15:50Z</vt:lpwstr>
  </property>
  <property fmtid="{D5CDD505-2E9C-101B-9397-08002B2CF9AE}" pid="10" name="MSIP_Label_3418fa32-ea8f-47ff-8057-a4c6f24e55b0_Method">
    <vt:lpwstr>Privileged</vt:lpwstr>
  </property>
  <property fmtid="{D5CDD505-2E9C-101B-9397-08002B2CF9AE}" pid="11" name="MSIP_Label_3418fa32-ea8f-47ff-8057-a4c6f24e55b0_Name">
    <vt:lpwstr>Official - B2022</vt:lpwstr>
  </property>
  <property fmtid="{D5CDD505-2E9C-101B-9397-08002B2CF9AE}" pid="12" name="MSIP_Label_3418fa32-ea8f-47ff-8057-a4c6f24e55b0_SiteId">
    <vt:lpwstr>96073eca-79ba-43ab-a522-50a25aba167e</vt:lpwstr>
  </property>
  <property fmtid="{D5CDD505-2E9C-101B-9397-08002B2CF9AE}" pid="13" name="MSIP_Label_3418fa32-ea8f-47ff-8057-a4c6f24e55b0_ActionId">
    <vt:lpwstr>50cf36f4-9423-4a24-8e98-68b679fef106</vt:lpwstr>
  </property>
  <property fmtid="{D5CDD505-2E9C-101B-9397-08002B2CF9AE}" pid="14" name="MSIP_Label_3418fa32-ea8f-47ff-8057-a4c6f24e55b0_ContentBits">
    <vt:lpwstr>3</vt:lpwstr>
  </property>
  <property fmtid="{D5CDD505-2E9C-101B-9397-08002B2CF9AE}" pid="15" name="MediaServiceImageTags">
    <vt:lpwstr/>
  </property>
</Properties>
</file>